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8A44AB14-F68F-4144-A495-906E74AE63F1}" xr6:coauthVersionLast="47" xr6:coauthVersionMax="47" xr10:uidLastSave="{00000000-0000-0000-0000-000000000000}"/>
  <bookViews>
    <workbookView xWindow="-110" yWindow="-110" windowWidth="19420" windowHeight="10300" xr2:uid="{9E63B997-7E97-4022-9E85-807A8163A3AC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4" l="1"/>
  <c r="F75" i="4"/>
  <c r="G74" i="4"/>
  <c r="F74" i="4"/>
  <c r="G73" i="4"/>
  <c r="E70" i="4"/>
  <c r="F69" i="4"/>
  <c r="E69" i="4"/>
</calcChain>
</file>

<file path=xl/sharedStrings.xml><?xml version="1.0" encoding="utf-8"?>
<sst xmlns="http://schemas.openxmlformats.org/spreadsheetml/2006/main" count="245" uniqueCount="106">
  <si>
    <t>盾火晶</t>
    <rPh sb="0" eb="1">
      <t>タテ</t>
    </rPh>
    <rPh sb="1" eb="2">
      <t>ヒ</t>
    </rPh>
    <rPh sb="2" eb="3">
      <t>アキラ</t>
    </rPh>
    <phoneticPr fontId="1"/>
  </si>
  <si>
    <t>ジェシー</t>
    <phoneticPr fontId="1"/>
  </si>
  <si>
    <t>パトリック</t>
    <phoneticPr fontId="1"/>
  </si>
  <si>
    <t>火晶レベル</t>
    <rPh sb="0" eb="1">
      <t>ヒ</t>
    </rPh>
    <rPh sb="1" eb="2">
      <t>アキラ</t>
    </rPh>
    <phoneticPr fontId="1"/>
  </si>
  <si>
    <t>フレンダー</t>
    <phoneticPr fontId="1"/>
  </si>
  <si>
    <t>同盟</t>
    <rPh sb="0" eb="2">
      <t>ドウメイ</t>
    </rPh>
    <phoneticPr fontId="1"/>
  </si>
  <si>
    <t>名前</t>
    <rPh sb="0" eb="2">
      <t>ナマエ</t>
    </rPh>
    <phoneticPr fontId="1"/>
  </si>
  <si>
    <t>MGA</t>
    <phoneticPr fontId="1"/>
  </si>
  <si>
    <t>あっちゃん</t>
    <phoneticPr fontId="1"/>
  </si>
  <si>
    <t>rlx</t>
    <phoneticPr fontId="1"/>
  </si>
  <si>
    <t>備考</t>
    <phoneticPr fontId="1"/>
  </si>
  <si>
    <t>移籍先</t>
    <rPh sb="0" eb="3">
      <t>イセキサキ</t>
    </rPh>
    <phoneticPr fontId="1"/>
  </si>
  <si>
    <t>Tarutomo</t>
    <phoneticPr fontId="1"/>
  </si>
  <si>
    <t>あーちゃ</t>
    <phoneticPr fontId="1"/>
  </si>
  <si>
    <t>ねね鹿</t>
    <rPh sb="2" eb="3">
      <t>シカ</t>
    </rPh>
    <phoneticPr fontId="1"/>
  </si>
  <si>
    <t>KFC</t>
    <phoneticPr fontId="1"/>
  </si>
  <si>
    <t>MMC除く</t>
    <phoneticPr fontId="1"/>
  </si>
  <si>
    <t>列1</t>
  </si>
  <si>
    <t>MMC受け入れ可能</t>
    <rPh sb="3" eb="4">
      <t>ウ</t>
    </rPh>
    <rPh sb="5" eb="6">
      <t>イ</t>
    </rPh>
    <rPh sb="7" eb="9">
      <t>カノウ</t>
    </rPh>
    <phoneticPr fontId="1"/>
  </si>
  <si>
    <t>KFC受け入れ可能</t>
    <rPh sb="3" eb="4">
      <t>ウ</t>
    </rPh>
    <rPh sb="5" eb="6">
      <t>イ</t>
    </rPh>
    <rPh sb="7" eb="9">
      <t>カノウ</t>
    </rPh>
    <phoneticPr fontId="1"/>
  </si>
  <si>
    <t>Max</t>
    <phoneticPr fontId="1"/>
  </si>
  <si>
    <t>移動人数</t>
    <rPh sb="0" eb="2">
      <t>イドウ</t>
    </rPh>
    <rPh sb="2" eb="4">
      <t>ニンズウ</t>
    </rPh>
    <phoneticPr fontId="1"/>
  </si>
  <si>
    <t>移動先未定の人</t>
    <rPh sb="0" eb="3">
      <t>イドウサキ</t>
    </rPh>
    <rPh sb="3" eb="5">
      <t>ミテイ</t>
    </rPh>
    <rPh sb="6" eb="7">
      <t>ヒト</t>
    </rPh>
    <phoneticPr fontId="1"/>
  </si>
  <si>
    <t>※受け入れ可能人数内にゴーストの移動考慮なし</t>
    <rPh sb="1" eb="2">
      <t>ウ</t>
    </rPh>
    <rPh sb="3" eb="4">
      <t>イ</t>
    </rPh>
    <rPh sb="5" eb="7">
      <t>カノウ</t>
    </rPh>
    <rPh sb="7" eb="9">
      <t>ニンズウ</t>
    </rPh>
    <rPh sb="9" eb="10">
      <t>ナイ</t>
    </rPh>
    <rPh sb="16" eb="18">
      <t>イドウ</t>
    </rPh>
    <rPh sb="18" eb="20">
      <t>コウリョ</t>
    </rPh>
    <phoneticPr fontId="1"/>
  </si>
  <si>
    <t>盾火晶3</t>
    <rPh sb="0" eb="1">
      <t>タテ</t>
    </rPh>
    <rPh sb="1" eb="2">
      <t>ヒ</t>
    </rPh>
    <rPh sb="2" eb="3">
      <t>アキラ</t>
    </rPh>
    <phoneticPr fontId="1"/>
  </si>
  <si>
    <t>たけし</t>
    <phoneticPr fontId="1"/>
  </si>
  <si>
    <t>朱雀</t>
    <rPh sb="0" eb="2">
      <t>スザク</t>
    </rPh>
    <phoneticPr fontId="1"/>
  </si>
  <si>
    <t>とーと</t>
    <phoneticPr fontId="1"/>
  </si>
  <si>
    <t>しずく</t>
    <phoneticPr fontId="1"/>
  </si>
  <si>
    <t>OMI</t>
    <phoneticPr fontId="1"/>
  </si>
  <si>
    <t>まちゃ</t>
    <phoneticPr fontId="1"/>
  </si>
  <si>
    <t>きりか</t>
    <phoneticPr fontId="1"/>
  </si>
  <si>
    <t>リムル</t>
    <phoneticPr fontId="1"/>
  </si>
  <si>
    <t>星龍富士虎</t>
    <rPh sb="0" eb="1">
      <t>ホシ</t>
    </rPh>
    <rPh sb="1" eb="2">
      <t>リュウ</t>
    </rPh>
    <rPh sb="2" eb="4">
      <t>フジ</t>
    </rPh>
    <rPh sb="4" eb="5">
      <t>トラ</t>
    </rPh>
    <phoneticPr fontId="1"/>
  </si>
  <si>
    <t>enan</t>
    <phoneticPr fontId="1"/>
  </si>
  <si>
    <t>紳シンジ</t>
    <rPh sb="0" eb="1">
      <t>シン</t>
    </rPh>
    <phoneticPr fontId="1"/>
  </si>
  <si>
    <t>ナッツ</t>
    <phoneticPr fontId="1"/>
  </si>
  <si>
    <t>しん</t>
    <phoneticPr fontId="1"/>
  </si>
  <si>
    <t>玄米茶</t>
    <rPh sb="0" eb="3">
      <t>ゲンマイチャ</t>
    </rPh>
    <phoneticPr fontId="1"/>
  </si>
  <si>
    <t>こんにゃく</t>
    <phoneticPr fontId="1"/>
  </si>
  <si>
    <t>Bell</t>
    <phoneticPr fontId="1"/>
  </si>
  <si>
    <t>yuge</t>
    <phoneticPr fontId="1"/>
  </si>
  <si>
    <t>みたらしもちこ</t>
    <phoneticPr fontId="1"/>
  </si>
  <si>
    <t>アオト</t>
    <phoneticPr fontId="1"/>
  </si>
  <si>
    <t>23時～参戦</t>
    <rPh sb="2" eb="3">
      <t>ジ</t>
    </rPh>
    <rPh sb="4" eb="6">
      <t>サンセン</t>
    </rPh>
    <phoneticPr fontId="1"/>
  </si>
  <si>
    <t>21時～参戦</t>
    <rPh sb="2" eb="3">
      <t>ジ</t>
    </rPh>
    <rPh sb="4" eb="6">
      <t>サンセン</t>
    </rPh>
    <phoneticPr fontId="1"/>
  </si>
  <si>
    <t>寝落ち抜け</t>
    <rPh sb="0" eb="2">
      <t>ネオ</t>
    </rPh>
    <rPh sb="3" eb="4">
      <t>ヌ</t>
    </rPh>
    <phoneticPr fontId="1"/>
  </si>
  <si>
    <t>カヲル</t>
    <phoneticPr fontId="1"/>
  </si>
  <si>
    <t>バナナ</t>
    <phoneticPr fontId="1"/>
  </si>
  <si>
    <t>途中参戦未定</t>
    <rPh sb="0" eb="4">
      <t>トチュウサンセン</t>
    </rPh>
    <rPh sb="4" eb="6">
      <t>ミテイ</t>
    </rPh>
    <phoneticPr fontId="1"/>
  </si>
  <si>
    <t>kappar</t>
    <phoneticPr fontId="1"/>
  </si>
  <si>
    <t>アキ</t>
    <phoneticPr fontId="1"/>
  </si>
  <si>
    <t>yaaaasuuu</t>
    <phoneticPr fontId="1"/>
  </si>
  <si>
    <t>kai</t>
    <phoneticPr fontId="1"/>
  </si>
  <si>
    <t>ヌル8</t>
    <phoneticPr fontId="1"/>
  </si>
  <si>
    <t>TDK</t>
    <phoneticPr fontId="1"/>
  </si>
  <si>
    <t>apis</t>
    <phoneticPr fontId="1"/>
  </si>
  <si>
    <t>にくQ</t>
    <phoneticPr fontId="1"/>
  </si>
  <si>
    <t>ナーナ</t>
    <phoneticPr fontId="1"/>
  </si>
  <si>
    <t>イグニス</t>
    <phoneticPr fontId="1"/>
  </si>
  <si>
    <t>RINO</t>
    <phoneticPr fontId="1"/>
  </si>
  <si>
    <t>たぬぅ</t>
    <phoneticPr fontId="1"/>
  </si>
  <si>
    <t>22時参戦</t>
    <rPh sb="2" eb="3">
      <t>ジ</t>
    </rPh>
    <rPh sb="3" eb="5">
      <t>サンセン</t>
    </rPh>
    <phoneticPr fontId="1"/>
  </si>
  <si>
    <t>Yokohama</t>
    <phoneticPr fontId="1"/>
  </si>
  <si>
    <t>いりる</t>
    <phoneticPr fontId="1"/>
  </si>
  <si>
    <t>O4O</t>
    <phoneticPr fontId="1"/>
  </si>
  <si>
    <t>Moro</t>
    <phoneticPr fontId="1"/>
  </si>
  <si>
    <t>おいもちゃん</t>
    <phoneticPr fontId="1"/>
  </si>
  <si>
    <t>ゆうな</t>
    <phoneticPr fontId="1"/>
  </si>
  <si>
    <t>ジラーチ</t>
    <phoneticPr fontId="1"/>
  </si>
  <si>
    <t>22時～参戦</t>
    <rPh sb="2" eb="3">
      <t>ジ</t>
    </rPh>
    <rPh sb="4" eb="6">
      <t>サンセン</t>
    </rPh>
    <phoneticPr fontId="1"/>
  </si>
  <si>
    <t>NYA</t>
    <phoneticPr fontId="1"/>
  </si>
  <si>
    <t>よもぎ</t>
    <phoneticPr fontId="1"/>
  </si>
  <si>
    <t>にゃんち</t>
    <phoneticPr fontId="1"/>
  </si>
  <si>
    <t>サブケンちゃん</t>
    <phoneticPr fontId="1"/>
  </si>
  <si>
    <t>wan</t>
    <phoneticPr fontId="1"/>
  </si>
  <si>
    <t>Ris</t>
    <phoneticPr fontId="1"/>
  </si>
  <si>
    <t>いろは</t>
    <phoneticPr fontId="1"/>
  </si>
  <si>
    <t>しゅあ</t>
    <phoneticPr fontId="1"/>
  </si>
  <si>
    <t>ぽんず</t>
    <phoneticPr fontId="1"/>
  </si>
  <si>
    <t>にーも</t>
    <phoneticPr fontId="1"/>
  </si>
  <si>
    <t>ミク</t>
    <phoneticPr fontId="1"/>
  </si>
  <si>
    <t>ぴろぴろ</t>
    <phoneticPr fontId="1"/>
  </si>
  <si>
    <t>ロッキー</t>
    <phoneticPr fontId="1"/>
  </si>
  <si>
    <t>ポメプー</t>
    <phoneticPr fontId="1"/>
  </si>
  <si>
    <t>とぼけいぬ</t>
    <phoneticPr fontId="1"/>
  </si>
  <si>
    <t>オハラ</t>
    <phoneticPr fontId="1"/>
  </si>
  <si>
    <t>エミリア</t>
    <phoneticPr fontId="1"/>
  </si>
  <si>
    <t>tomotomo</t>
    <phoneticPr fontId="1"/>
  </si>
  <si>
    <t>ちゃま</t>
    <phoneticPr fontId="1"/>
  </si>
  <si>
    <t>ピコマ</t>
    <phoneticPr fontId="1"/>
  </si>
  <si>
    <t>ku</t>
    <phoneticPr fontId="1"/>
  </si>
  <si>
    <t>NOALAKE</t>
    <phoneticPr fontId="1"/>
  </si>
  <si>
    <t>Mingo</t>
    <phoneticPr fontId="1"/>
  </si>
  <si>
    <t>きみハオハオ</t>
    <phoneticPr fontId="1"/>
  </si>
  <si>
    <t>ネドヴェド</t>
    <phoneticPr fontId="1"/>
  </si>
  <si>
    <t>alexia</t>
    <phoneticPr fontId="1"/>
  </si>
  <si>
    <t>MMC</t>
    <phoneticPr fontId="1"/>
  </si>
  <si>
    <t>こぼたん</t>
    <phoneticPr fontId="1"/>
  </si>
  <si>
    <t>タマ</t>
    <phoneticPr fontId="1"/>
  </si>
  <si>
    <t>mayu</t>
    <phoneticPr fontId="1"/>
  </si>
  <si>
    <t>JFW</t>
    <phoneticPr fontId="1"/>
  </si>
  <si>
    <t>オーキッド</t>
    <phoneticPr fontId="1"/>
  </si>
  <si>
    <t>魚犬</t>
    <rPh sb="0" eb="1">
      <t>サカナ</t>
    </rPh>
    <rPh sb="1" eb="2">
      <t>イヌ</t>
    </rPh>
    <phoneticPr fontId="1"/>
  </si>
  <si>
    <t>おでん</t>
    <phoneticPr fontId="1"/>
  </si>
  <si>
    <t>タジマ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</si>
</sst>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24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fill>
        <patternFill patternType="none">
          <fgColor indexed="64"/>
          <bgColor indexed="65"/>
        </patternFill>
      </fill>
    </dxf>
    <dxf>
      <fill>
        <patternFill>
          <fgColor rgb="FF000000"/>
          <bgColor rgb="FFFFFFFF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テーブル スタイル 1" pivot="0" count="3" xr9:uid="{8438CCF6-7EAA-4BC3-B225-1093B6C1424D}">
      <tableStyleElement type="wholeTable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BFC125-12DD-423A-A844-5A2C5FD7A745}" name="テーブル33" displayName="テーブル33" ref="B2:K69" insertRowShift="1" totalsRowCount="1" headerRowDxfId="20" totalsRowDxfId="19">
  <autoFilter ref="B2:K68" xr:uid="{EF4F626B-CF28-4E0F-85D0-EEDB04574A10}"/>
  <tableColumns count="10">
    <tableColumn id="11" xr3:uid="{7F5E3D1C-CFFC-4A23-B5D0-896AC2AAAEE8}" name="列1" totalsRowDxfId="9"/>
    <tableColumn id="1" xr3:uid="{72687E11-802F-49B3-8062-6160B8E1FD2B}" name="同盟" totalsRowDxfId="8"/>
    <tableColumn id="2" xr3:uid="{F9393C8C-0067-41E7-86EA-EDCF32AB3A14}" name="名前" totalsRowDxfId="7"/>
    <tableColumn id="3" xr3:uid="{D5F01E6A-9D68-4FD2-8637-ADDE18996470}" name="火晶レベル" totalsRowFunction="custom" dataDxfId="18" totalsRowDxfId="6">
      <totalsRowFormula>"火晶は"&amp;COUNTIF(テーブル33[火晶レベル],1)+COUNTIF(テーブル33[火晶レベル],2)+COUNTIF(テーブル33[火晶レベル],3)&amp;"人"</totalsRowFormula>
    </tableColumn>
    <tableColumn id="4" xr3:uid="{74F4358F-3A46-4967-B013-7D8263B9840C}" name="盾火晶" totalsRowFunction="custom" totalsRowDxfId="5">
      <totalsRowFormula>"盾火晶3は"&amp;COUNTIF(テーブル33[盾火晶],3)&amp;"人"</totalsRowFormula>
    </tableColumn>
    <tableColumn id="5" xr3:uid="{1B486179-0FC2-4AB4-9C88-30B0EF8158A4}" name="ジェシー" totalsRowDxfId="4"/>
    <tableColumn id="6" xr3:uid="{68CC1B96-68A0-4282-829B-9C7D7D29F23A}" name="パトリック" totalsRowDxfId="3"/>
    <tableColumn id="7" xr3:uid="{A84B7EF1-4722-4FD0-86FF-BFEEFD6775DB}" name="フレンダー" totalsRowDxfId="2"/>
    <tableColumn id="8" xr3:uid="{BC1C9F27-70BA-46B4-A128-CB947AB7B6D6}" name="備考" totalsRowDxfId="1"/>
    <tableColumn id="9" xr3:uid="{97ABF6C6-9C4A-4C0E-A578-4E52A8E1FB6F}" name="移籍先" totalsRowDxfId="0"/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B8D7-4AAC-4ED9-86B9-FC83783F3AE8}">
  <sheetPr>
    <pageSetUpPr fitToPage="1"/>
  </sheetPr>
  <dimension ref="B2:Q85"/>
  <sheetViews>
    <sheetView tabSelected="1" zoomScale="70" zoomScaleNormal="70" workbookViewId="0">
      <pane ySplit="2" topLeftCell="A51" activePane="bottomLeft" state="frozen"/>
      <selection pane="bottomLeft" activeCell="H67" sqref="H67"/>
    </sheetView>
  </sheetViews>
  <sheetFormatPr defaultRowHeight="18" x14ac:dyDescent="0.55000000000000004"/>
  <cols>
    <col min="3" max="3" width="6.58203125" customWidth="1"/>
    <col min="4" max="4" width="14.6640625" bestFit="1" customWidth="1"/>
    <col min="5" max="5" width="13.08203125" bestFit="1" customWidth="1"/>
    <col min="6" max="6" width="14.1640625" bestFit="1" customWidth="1"/>
    <col min="7" max="7" width="11.25" bestFit="1" customWidth="1"/>
    <col min="8" max="8" width="13.08203125" bestFit="1" customWidth="1"/>
    <col min="9" max="9" width="14.1640625" hidden="1" customWidth="1"/>
    <col min="10" max="10" width="12.4140625" customWidth="1"/>
    <col min="11" max="11" width="11.9140625" customWidth="1"/>
  </cols>
  <sheetData>
    <row r="2" spans="2:11" x14ac:dyDescent="0.55000000000000004">
      <c r="B2" s="2" t="s">
        <v>17</v>
      </c>
      <c r="C2" s="2" t="s">
        <v>5</v>
      </c>
      <c r="D2" s="2" t="s">
        <v>6</v>
      </c>
      <c r="E2" s="2" t="s">
        <v>3</v>
      </c>
      <c r="F2" s="2" t="s">
        <v>0</v>
      </c>
      <c r="G2" s="2" t="s">
        <v>1</v>
      </c>
      <c r="H2" s="2" t="s">
        <v>2</v>
      </c>
      <c r="I2" s="2" t="s">
        <v>4</v>
      </c>
      <c r="J2" s="2" t="s">
        <v>10</v>
      </c>
      <c r="K2" s="2" t="s">
        <v>11</v>
      </c>
    </row>
    <row r="3" spans="2:11" x14ac:dyDescent="0.55000000000000004">
      <c r="B3">
        <v>1</v>
      </c>
      <c r="C3" t="s">
        <v>15</v>
      </c>
      <c r="D3" t="s">
        <v>25</v>
      </c>
      <c r="E3">
        <v>3</v>
      </c>
      <c r="F3">
        <v>3</v>
      </c>
      <c r="G3">
        <v>5</v>
      </c>
      <c r="H3">
        <v>5</v>
      </c>
      <c r="I3">
        <v>5</v>
      </c>
      <c r="K3" t="s">
        <v>15</v>
      </c>
    </row>
    <row r="4" spans="2:11" x14ac:dyDescent="0.55000000000000004">
      <c r="B4">
        <v>2</v>
      </c>
      <c r="C4" t="s">
        <v>15</v>
      </c>
      <c r="D4" s="13">
        <v>110</v>
      </c>
      <c r="E4">
        <v>3</v>
      </c>
      <c r="F4">
        <v>3</v>
      </c>
      <c r="G4">
        <v>5</v>
      </c>
      <c r="H4">
        <v>5</v>
      </c>
      <c r="K4" t="s">
        <v>15</v>
      </c>
    </row>
    <row r="5" spans="2:11" x14ac:dyDescent="0.55000000000000004">
      <c r="B5">
        <v>3</v>
      </c>
      <c r="C5" t="s">
        <v>15</v>
      </c>
      <c r="D5" t="s">
        <v>26</v>
      </c>
      <c r="E5">
        <v>3</v>
      </c>
      <c r="F5">
        <v>3</v>
      </c>
      <c r="G5">
        <v>5</v>
      </c>
      <c r="H5">
        <v>5</v>
      </c>
      <c r="I5">
        <v>5</v>
      </c>
      <c r="K5" t="s">
        <v>15</v>
      </c>
    </row>
    <row r="6" spans="2:11" x14ac:dyDescent="0.55000000000000004">
      <c r="B6">
        <v>4</v>
      </c>
      <c r="C6" t="s">
        <v>15</v>
      </c>
      <c r="D6" s="1" t="s">
        <v>33</v>
      </c>
      <c r="E6" s="1">
        <v>3</v>
      </c>
      <c r="F6" s="1">
        <v>3</v>
      </c>
      <c r="G6" s="1">
        <v>5</v>
      </c>
      <c r="H6" s="1">
        <v>5</v>
      </c>
      <c r="I6">
        <v>5</v>
      </c>
      <c r="K6" t="s">
        <v>15</v>
      </c>
    </row>
    <row r="7" spans="2:11" x14ac:dyDescent="0.55000000000000004">
      <c r="B7">
        <v>5</v>
      </c>
      <c r="C7" t="s">
        <v>15</v>
      </c>
      <c r="D7" t="s">
        <v>28</v>
      </c>
      <c r="E7">
        <v>3</v>
      </c>
      <c r="F7">
        <v>3</v>
      </c>
      <c r="G7">
        <v>5</v>
      </c>
      <c r="H7">
        <v>5</v>
      </c>
      <c r="K7" t="s">
        <v>15</v>
      </c>
    </row>
    <row r="8" spans="2:11" x14ac:dyDescent="0.55000000000000004">
      <c r="B8">
        <v>6</v>
      </c>
      <c r="C8" t="s">
        <v>15</v>
      </c>
      <c r="D8" t="s">
        <v>32</v>
      </c>
      <c r="E8">
        <v>3</v>
      </c>
      <c r="F8">
        <v>3</v>
      </c>
      <c r="G8">
        <v>5</v>
      </c>
      <c r="H8">
        <v>5</v>
      </c>
      <c r="K8" t="s">
        <v>15</v>
      </c>
    </row>
    <row r="9" spans="2:11" x14ac:dyDescent="0.55000000000000004">
      <c r="B9">
        <v>7</v>
      </c>
      <c r="C9" t="s">
        <v>15</v>
      </c>
      <c r="D9" t="s">
        <v>30</v>
      </c>
      <c r="E9">
        <v>3</v>
      </c>
      <c r="F9">
        <v>3</v>
      </c>
      <c r="G9">
        <v>5</v>
      </c>
      <c r="H9">
        <v>5</v>
      </c>
      <c r="K9" t="s">
        <v>15</v>
      </c>
    </row>
    <row r="10" spans="2:11" x14ac:dyDescent="0.55000000000000004">
      <c r="B10">
        <v>8</v>
      </c>
      <c r="C10" t="s">
        <v>15</v>
      </c>
      <c r="D10" t="s">
        <v>31</v>
      </c>
      <c r="E10">
        <v>3</v>
      </c>
      <c r="F10">
        <v>3</v>
      </c>
      <c r="G10">
        <v>5</v>
      </c>
      <c r="H10">
        <v>5</v>
      </c>
      <c r="K10" t="s">
        <v>15</v>
      </c>
    </row>
    <row r="11" spans="2:11" x14ac:dyDescent="0.55000000000000004">
      <c r="B11">
        <v>9</v>
      </c>
      <c r="C11" t="s">
        <v>15</v>
      </c>
      <c r="D11" t="s">
        <v>29</v>
      </c>
      <c r="E11">
        <v>2</v>
      </c>
      <c r="F11">
        <v>2</v>
      </c>
      <c r="G11">
        <v>5</v>
      </c>
      <c r="H11">
        <v>5</v>
      </c>
      <c r="K11" t="s">
        <v>15</v>
      </c>
    </row>
    <row r="12" spans="2:11" x14ac:dyDescent="0.55000000000000004">
      <c r="B12">
        <v>10</v>
      </c>
      <c r="C12" t="s">
        <v>15</v>
      </c>
      <c r="D12" t="s">
        <v>27</v>
      </c>
      <c r="E12">
        <v>2</v>
      </c>
      <c r="F12">
        <v>2</v>
      </c>
      <c r="G12">
        <v>5</v>
      </c>
      <c r="H12">
        <v>5</v>
      </c>
      <c r="I12">
        <v>5</v>
      </c>
      <c r="K12" t="s">
        <v>15</v>
      </c>
    </row>
    <row r="13" spans="2:11" x14ac:dyDescent="0.55000000000000004">
      <c r="B13">
        <v>11</v>
      </c>
      <c r="C13" t="s">
        <v>15</v>
      </c>
      <c r="D13" s="14" t="s">
        <v>36</v>
      </c>
      <c r="E13" s="14">
        <v>3</v>
      </c>
      <c r="F13" s="14">
        <v>3</v>
      </c>
      <c r="G13" s="14">
        <v>5</v>
      </c>
      <c r="H13" s="14">
        <v>5</v>
      </c>
      <c r="I13" s="14"/>
      <c r="J13" s="14" t="s">
        <v>45</v>
      </c>
      <c r="K13" t="s">
        <v>15</v>
      </c>
    </row>
    <row r="14" spans="2:11" x14ac:dyDescent="0.55000000000000004">
      <c r="B14">
        <v>12</v>
      </c>
      <c r="C14" t="s">
        <v>15</v>
      </c>
      <c r="D14" s="1" t="s">
        <v>37</v>
      </c>
      <c r="E14" s="1">
        <v>3</v>
      </c>
      <c r="F14" s="1">
        <v>3</v>
      </c>
      <c r="G14" s="1">
        <v>5</v>
      </c>
      <c r="H14" s="1">
        <v>5</v>
      </c>
      <c r="I14" s="1"/>
      <c r="J14" s="1" t="s">
        <v>44</v>
      </c>
      <c r="K14" t="s">
        <v>15</v>
      </c>
    </row>
    <row r="15" spans="2:11" x14ac:dyDescent="0.55000000000000004">
      <c r="B15">
        <v>13</v>
      </c>
      <c r="C15" t="s">
        <v>15</v>
      </c>
      <c r="D15" s="14" t="s">
        <v>40</v>
      </c>
      <c r="E15" s="14">
        <v>3</v>
      </c>
      <c r="F15" s="14">
        <v>3</v>
      </c>
      <c r="G15" s="14">
        <v>5</v>
      </c>
      <c r="H15" s="14">
        <v>5</v>
      </c>
      <c r="I15" s="14"/>
      <c r="J15" s="14" t="s">
        <v>45</v>
      </c>
      <c r="K15" t="s">
        <v>15</v>
      </c>
    </row>
    <row r="16" spans="2:11" x14ac:dyDescent="0.55000000000000004">
      <c r="B16">
        <v>14</v>
      </c>
      <c r="C16" t="s">
        <v>15</v>
      </c>
      <c r="D16" t="s">
        <v>35</v>
      </c>
      <c r="E16">
        <v>2</v>
      </c>
      <c r="F16">
        <v>2</v>
      </c>
      <c r="G16">
        <v>5</v>
      </c>
      <c r="H16">
        <v>5</v>
      </c>
      <c r="J16" t="s">
        <v>46</v>
      </c>
      <c r="K16" t="s">
        <v>15</v>
      </c>
    </row>
    <row r="17" spans="2:17" x14ac:dyDescent="0.55000000000000004">
      <c r="B17">
        <v>15</v>
      </c>
      <c r="C17" t="s">
        <v>15</v>
      </c>
      <c r="D17" t="s">
        <v>38</v>
      </c>
      <c r="E17">
        <v>2</v>
      </c>
      <c r="F17">
        <v>2</v>
      </c>
      <c r="G17">
        <v>5</v>
      </c>
      <c r="H17">
        <v>5</v>
      </c>
      <c r="J17" t="s">
        <v>45</v>
      </c>
      <c r="K17" t="s">
        <v>15</v>
      </c>
    </row>
    <row r="18" spans="2:17" x14ac:dyDescent="0.55000000000000004">
      <c r="B18">
        <v>16</v>
      </c>
      <c r="C18" t="s">
        <v>15</v>
      </c>
      <c r="D18" t="s">
        <v>39</v>
      </c>
      <c r="E18">
        <v>3</v>
      </c>
      <c r="F18">
        <v>2</v>
      </c>
      <c r="G18">
        <v>5</v>
      </c>
      <c r="H18">
        <v>5</v>
      </c>
      <c r="K18" t="s">
        <v>15</v>
      </c>
    </row>
    <row r="19" spans="2:17" x14ac:dyDescent="0.55000000000000004">
      <c r="B19">
        <v>17</v>
      </c>
      <c r="C19" t="s">
        <v>15</v>
      </c>
      <c r="D19" t="s">
        <v>34</v>
      </c>
      <c r="E19">
        <v>2</v>
      </c>
      <c r="F19">
        <v>2</v>
      </c>
      <c r="G19">
        <v>5</v>
      </c>
      <c r="H19">
        <v>5</v>
      </c>
      <c r="J19" t="s">
        <v>46</v>
      </c>
      <c r="K19" t="s">
        <v>15</v>
      </c>
    </row>
    <row r="20" spans="2:17" x14ac:dyDescent="0.55000000000000004">
      <c r="B20">
        <v>18</v>
      </c>
      <c r="C20" t="s">
        <v>15</v>
      </c>
      <c r="D20" t="s">
        <v>41</v>
      </c>
      <c r="E20">
        <v>2</v>
      </c>
      <c r="F20">
        <v>2</v>
      </c>
      <c r="G20">
        <v>5</v>
      </c>
      <c r="H20">
        <v>5</v>
      </c>
      <c r="J20" t="s">
        <v>44</v>
      </c>
      <c r="K20" t="s">
        <v>15</v>
      </c>
    </row>
    <row r="21" spans="2:17" x14ac:dyDescent="0.55000000000000004">
      <c r="B21">
        <v>19</v>
      </c>
      <c r="C21" t="s">
        <v>15</v>
      </c>
      <c r="D21" t="s">
        <v>42</v>
      </c>
      <c r="E21">
        <v>1</v>
      </c>
      <c r="F21">
        <v>1</v>
      </c>
      <c r="G21">
        <v>5</v>
      </c>
      <c r="H21">
        <v>5</v>
      </c>
      <c r="J21" t="s">
        <v>45</v>
      </c>
      <c r="K21" t="s">
        <v>15</v>
      </c>
    </row>
    <row r="22" spans="2:17" x14ac:dyDescent="0.55000000000000004">
      <c r="B22">
        <v>20</v>
      </c>
      <c r="C22" t="s">
        <v>15</v>
      </c>
      <c r="D22" t="s">
        <v>43</v>
      </c>
      <c r="E22">
        <v>1</v>
      </c>
      <c r="F22">
        <v>1</v>
      </c>
      <c r="G22">
        <v>4</v>
      </c>
      <c r="H22">
        <v>4</v>
      </c>
      <c r="J22" t="s">
        <v>45</v>
      </c>
      <c r="K22" t="s">
        <v>15</v>
      </c>
      <c r="P22" s="1"/>
      <c r="Q22" s="1"/>
    </row>
    <row r="23" spans="2:17" x14ac:dyDescent="0.55000000000000004">
      <c r="B23">
        <v>21</v>
      </c>
      <c r="C23" t="s">
        <v>15</v>
      </c>
      <c r="D23" t="s">
        <v>47</v>
      </c>
      <c r="E23">
        <v>2</v>
      </c>
      <c r="F23">
        <v>2</v>
      </c>
      <c r="G23">
        <v>4</v>
      </c>
      <c r="H23">
        <v>5</v>
      </c>
      <c r="J23" t="s">
        <v>49</v>
      </c>
      <c r="K23" t="s">
        <v>15</v>
      </c>
      <c r="P23" s="1"/>
      <c r="Q23" s="1"/>
    </row>
    <row r="24" spans="2:17" x14ac:dyDescent="0.55000000000000004">
      <c r="B24">
        <v>22</v>
      </c>
      <c r="C24" t="s">
        <v>15</v>
      </c>
      <c r="D24" t="s">
        <v>48</v>
      </c>
      <c r="E24">
        <v>2</v>
      </c>
      <c r="F24">
        <v>2</v>
      </c>
      <c r="G24">
        <v>5</v>
      </c>
      <c r="H24">
        <v>5</v>
      </c>
      <c r="K24" t="s">
        <v>15</v>
      </c>
      <c r="P24" s="1"/>
      <c r="Q24" s="1"/>
    </row>
    <row r="25" spans="2:17" x14ac:dyDescent="0.55000000000000004">
      <c r="B25">
        <v>23</v>
      </c>
      <c r="C25" t="s">
        <v>15</v>
      </c>
      <c r="D25" t="s">
        <v>50</v>
      </c>
      <c r="E25">
        <v>2</v>
      </c>
      <c r="F25">
        <v>2</v>
      </c>
      <c r="G25">
        <v>5</v>
      </c>
      <c r="H25">
        <v>5</v>
      </c>
      <c r="J25" t="s">
        <v>49</v>
      </c>
      <c r="K25" t="s">
        <v>15</v>
      </c>
      <c r="P25" s="1"/>
      <c r="Q25" s="1"/>
    </row>
    <row r="26" spans="2:17" x14ac:dyDescent="0.55000000000000004">
      <c r="B26">
        <v>24</v>
      </c>
      <c r="C26" t="s">
        <v>15</v>
      </c>
      <c r="D26" t="s">
        <v>51</v>
      </c>
      <c r="E26">
        <v>2</v>
      </c>
      <c r="F26">
        <v>1</v>
      </c>
      <c r="G26">
        <v>5</v>
      </c>
      <c r="H26">
        <v>5</v>
      </c>
      <c r="J26" t="s">
        <v>70</v>
      </c>
      <c r="K26" t="s">
        <v>15</v>
      </c>
      <c r="P26" s="1"/>
      <c r="Q26" s="1"/>
    </row>
    <row r="27" spans="2:17" x14ac:dyDescent="0.55000000000000004">
      <c r="B27">
        <v>25</v>
      </c>
      <c r="C27" t="s">
        <v>15</v>
      </c>
      <c r="D27" t="s">
        <v>52</v>
      </c>
      <c r="E27">
        <v>2</v>
      </c>
      <c r="F27">
        <v>2</v>
      </c>
      <c r="G27">
        <v>5</v>
      </c>
      <c r="H27">
        <v>5</v>
      </c>
      <c r="J27" t="s">
        <v>70</v>
      </c>
      <c r="K27" t="s">
        <v>15</v>
      </c>
      <c r="P27" s="1"/>
      <c r="Q27" s="1"/>
    </row>
    <row r="28" spans="2:17" x14ac:dyDescent="0.55000000000000004">
      <c r="B28">
        <v>26</v>
      </c>
      <c r="C28" t="s">
        <v>15</v>
      </c>
      <c r="D28" t="s">
        <v>53</v>
      </c>
      <c r="E28">
        <v>2</v>
      </c>
      <c r="F28">
        <v>2</v>
      </c>
      <c r="G28">
        <v>5</v>
      </c>
      <c r="H28">
        <v>5</v>
      </c>
      <c r="J28" t="s">
        <v>62</v>
      </c>
      <c r="K28" t="s">
        <v>15</v>
      </c>
      <c r="P28" s="1"/>
      <c r="Q28" s="1"/>
    </row>
    <row r="29" spans="2:17" x14ac:dyDescent="0.55000000000000004">
      <c r="B29">
        <v>27</v>
      </c>
      <c r="C29" t="s">
        <v>15</v>
      </c>
      <c r="D29" t="s">
        <v>54</v>
      </c>
      <c r="E29">
        <v>2</v>
      </c>
      <c r="F29">
        <v>2</v>
      </c>
      <c r="G29">
        <v>5</v>
      </c>
      <c r="H29">
        <v>5</v>
      </c>
      <c r="I29">
        <v>5</v>
      </c>
      <c r="K29" t="s">
        <v>15</v>
      </c>
    </row>
    <row r="30" spans="2:17" x14ac:dyDescent="0.55000000000000004">
      <c r="B30">
        <v>28</v>
      </c>
      <c r="C30" t="s">
        <v>55</v>
      </c>
      <c r="D30" t="s">
        <v>99</v>
      </c>
      <c r="E30">
        <v>3</v>
      </c>
      <c r="F30">
        <v>3</v>
      </c>
      <c r="G30">
        <v>5</v>
      </c>
      <c r="H30">
        <v>5</v>
      </c>
      <c r="K30" t="s">
        <v>15</v>
      </c>
    </row>
    <row r="31" spans="2:17" x14ac:dyDescent="0.55000000000000004">
      <c r="B31">
        <v>29</v>
      </c>
      <c r="C31" t="s">
        <v>55</v>
      </c>
      <c r="D31" t="s">
        <v>56</v>
      </c>
      <c r="E31">
        <v>3</v>
      </c>
      <c r="F31">
        <v>2</v>
      </c>
      <c r="G31">
        <v>5</v>
      </c>
      <c r="H31">
        <v>5</v>
      </c>
      <c r="K31" s="14" t="s">
        <v>97</v>
      </c>
    </row>
    <row r="32" spans="2:17" x14ac:dyDescent="0.55000000000000004">
      <c r="B32">
        <v>30</v>
      </c>
      <c r="C32" t="s">
        <v>55</v>
      </c>
      <c r="D32" t="s">
        <v>57</v>
      </c>
      <c r="E32">
        <v>2</v>
      </c>
      <c r="F32">
        <v>2</v>
      </c>
      <c r="G32">
        <v>5</v>
      </c>
      <c r="H32">
        <v>5</v>
      </c>
      <c r="K32" t="s">
        <v>97</v>
      </c>
    </row>
    <row r="33" spans="2:11" x14ac:dyDescent="0.55000000000000004">
      <c r="B33">
        <v>31</v>
      </c>
      <c r="C33" t="s">
        <v>7</v>
      </c>
      <c r="D33" t="s">
        <v>58</v>
      </c>
      <c r="E33">
        <v>3</v>
      </c>
      <c r="F33">
        <v>3</v>
      </c>
      <c r="G33">
        <v>5</v>
      </c>
      <c r="H33">
        <v>5</v>
      </c>
      <c r="K33" s="14" t="s">
        <v>15</v>
      </c>
    </row>
    <row r="34" spans="2:11" x14ac:dyDescent="0.55000000000000004">
      <c r="B34">
        <v>32</v>
      </c>
      <c r="C34" t="s">
        <v>7</v>
      </c>
      <c r="D34" t="s">
        <v>8</v>
      </c>
      <c r="E34">
        <v>3</v>
      </c>
      <c r="F34">
        <v>3</v>
      </c>
      <c r="G34">
        <v>5</v>
      </c>
      <c r="H34">
        <v>5</v>
      </c>
      <c r="K34" t="s">
        <v>15</v>
      </c>
    </row>
    <row r="35" spans="2:11" x14ac:dyDescent="0.55000000000000004">
      <c r="B35">
        <v>33</v>
      </c>
      <c r="C35" t="s">
        <v>7</v>
      </c>
      <c r="D35" t="s">
        <v>98</v>
      </c>
      <c r="E35">
        <v>3</v>
      </c>
      <c r="F35">
        <v>3</v>
      </c>
      <c r="G35">
        <v>5</v>
      </c>
      <c r="H35">
        <v>5</v>
      </c>
      <c r="K35" s="14" t="s">
        <v>15</v>
      </c>
    </row>
    <row r="36" spans="2:11" x14ac:dyDescent="0.55000000000000004">
      <c r="B36">
        <v>34</v>
      </c>
      <c r="C36" t="s">
        <v>7</v>
      </c>
      <c r="D36" t="s">
        <v>59</v>
      </c>
      <c r="E36">
        <v>1</v>
      </c>
      <c r="F36">
        <v>1</v>
      </c>
      <c r="G36">
        <v>5</v>
      </c>
      <c r="H36">
        <v>5</v>
      </c>
      <c r="K36" t="s">
        <v>97</v>
      </c>
    </row>
    <row r="37" spans="2:11" x14ac:dyDescent="0.55000000000000004">
      <c r="B37">
        <v>35</v>
      </c>
      <c r="C37" t="s">
        <v>7</v>
      </c>
      <c r="D37" t="s">
        <v>60</v>
      </c>
      <c r="E37">
        <v>1</v>
      </c>
      <c r="F37">
        <v>1</v>
      </c>
      <c r="G37">
        <v>4</v>
      </c>
      <c r="H37">
        <v>4</v>
      </c>
      <c r="K37" s="14" t="s">
        <v>97</v>
      </c>
    </row>
    <row r="38" spans="2:11" x14ac:dyDescent="0.55000000000000004">
      <c r="B38">
        <v>36</v>
      </c>
      <c r="C38" t="s">
        <v>7</v>
      </c>
      <c r="D38" t="s">
        <v>61</v>
      </c>
      <c r="E38">
        <v>2</v>
      </c>
      <c r="F38">
        <v>2</v>
      </c>
      <c r="G38">
        <v>5</v>
      </c>
      <c r="H38">
        <v>5</v>
      </c>
      <c r="K38" t="s">
        <v>97</v>
      </c>
    </row>
    <row r="39" spans="2:11" x14ac:dyDescent="0.55000000000000004">
      <c r="B39">
        <v>37</v>
      </c>
      <c r="C39" t="s">
        <v>9</v>
      </c>
      <c r="D39" t="s">
        <v>12</v>
      </c>
      <c r="E39">
        <v>3</v>
      </c>
      <c r="F39">
        <v>3</v>
      </c>
      <c r="G39">
        <v>5</v>
      </c>
      <c r="H39">
        <v>5</v>
      </c>
      <c r="K39" s="14" t="s">
        <v>15</v>
      </c>
    </row>
    <row r="40" spans="2:11" x14ac:dyDescent="0.55000000000000004">
      <c r="B40">
        <v>38</v>
      </c>
      <c r="C40" t="s">
        <v>9</v>
      </c>
      <c r="D40" t="s">
        <v>63</v>
      </c>
      <c r="E40">
        <v>3</v>
      </c>
      <c r="F40">
        <v>3</v>
      </c>
      <c r="G40">
        <v>5</v>
      </c>
      <c r="H40">
        <v>5</v>
      </c>
      <c r="K40" t="s">
        <v>15</v>
      </c>
    </row>
    <row r="41" spans="2:11" x14ac:dyDescent="0.55000000000000004">
      <c r="B41">
        <v>39</v>
      </c>
      <c r="C41" t="s">
        <v>9</v>
      </c>
      <c r="D41" t="s">
        <v>64</v>
      </c>
      <c r="E41">
        <v>3</v>
      </c>
      <c r="F41">
        <v>3</v>
      </c>
      <c r="G41">
        <v>5</v>
      </c>
      <c r="H41">
        <v>5</v>
      </c>
      <c r="K41" s="14" t="s">
        <v>15</v>
      </c>
    </row>
    <row r="42" spans="2:11" x14ac:dyDescent="0.55000000000000004">
      <c r="B42">
        <v>40</v>
      </c>
      <c r="C42" t="s">
        <v>9</v>
      </c>
      <c r="D42" t="s">
        <v>14</v>
      </c>
      <c r="E42">
        <v>3</v>
      </c>
      <c r="F42">
        <v>3</v>
      </c>
      <c r="G42">
        <v>5</v>
      </c>
      <c r="H42">
        <v>5</v>
      </c>
      <c r="K42" t="s">
        <v>15</v>
      </c>
    </row>
    <row r="43" spans="2:11" x14ac:dyDescent="0.55000000000000004">
      <c r="B43">
        <v>41</v>
      </c>
      <c r="C43" t="s">
        <v>9</v>
      </c>
      <c r="D43" t="s">
        <v>65</v>
      </c>
      <c r="E43">
        <v>3</v>
      </c>
      <c r="F43">
        <v>3</v>
      </c>
      <c r="G43">
        <v>5</v>
      </c>
      <c r="H43">
        <v>5</v>
      </c>
      <c r="K43" s="14" t="s">
        <v>15</v>
      </c>
    </row>
    <row r="44" spans="2:11" x14ac:dyDescent="0.55000000000000004">
      <c r="B44">
        <v>42</v>
      </c>
      <c r="C44" t="s">
        <v>9</v>
      </c>
      <c r="D44" t="s">
        <v>13</v>
      </c>
      <c r="E44">
        <v>3</v>
      </c>
      <c r="F44">
        <v>2</v>
      </c>
      <c r="G44">
        <v>5</v>
      </c>
      <c r="H44">
        <v>5</v>
      </c>
      <c r="K44" t="s">
        <v>97</v>
      </c>
    </row>
    <row r="45" spans="2:11" x14ac:dyDescent="0.55000000000000004">
      <c r="B45">
        <v>43</v>
      </c>
      <c r="C45" t="s">
        <v>9</v>
      </c>
      <c r="D45" t="s">
        <v>66</v>
      </c>
      <c r="E45">
        <v>2</v>
      </c>
      <c r="F45">
        <v>2</v>
      </c>
      <c r="G45">
        <v>5</v>
      </c>
      <c r="H45">
        <v>5</v>
      </c>
      <c r="K45" s="14" t="s">
        <v>97</v>
      </c>
    </row>
    <row r="46" spans="2:11" x14ac:dyDescent="0.55000000000000004">
      <c r="B46">
        <v>44</v>
      </c>
      <c r="C46" t="s">
        <v>9</v>
      </c>
      <c r="D46" t="s">
        <v>67</v>
      </c>
      <c r="E46">
        <v>2</v>
      </c>
      <c r="F46">
        <v>2</v>
      </c>
      <c r="G46">
        <v>5</v>
      </c>
      <c r="H46">
        <v>5</v>
      </c>
      <c r="K46" t="s">
        <v>97</v>
      </c>
    </row>
    <row r="47" spans="2:11" x14ac:dyDescent="0.55000000000000004">
      <c r="B47">
        <v>45</v>
      </c>
      <c r="C47" t="s">
        <v>9</v>
      </c>
      <c r="D47" t="s">
        <v>68</v>
      </c>
      <c r="E47">
        <v>2</v>
      </c>
      <c r="F47">
        <v>2</v>
      </c>
      <c r="G47">
        <v>5</v>
      </c>
      <c r="H47">
        <v>5</v>
      </c>
      <c r="K47" s="14" t="s">
        <v>97</v>
      </c>
    </row>
    <row r="48" spans="2:11" x14ac:dyDescent="0.55000000000000004">
      <c r="B48">
        <v>46</v>
      </c>
      <c r="C48" t="s">
        <v>9</v>
      </c>
      <c r="D48" t="s">
        <v>69</v>
      </c>
      <c r="E48">
        <v>1</v>
      </c>
      <c r="F48">
        <v>1</v>
      </c>
      <c r="G48">
        <v>5</v>
      </c>
      <c r="H48">
        <v>5</v>
      </c>
      <c r="K48" t="s">
        <v>97</v>
      </c>
    </row>
    <row r="49" spans="2:11" x14ac:dyDescent="0.55000000000000004">
      <c r="B49">
        <v>47</v>
      </c>
      <c r="C49" t="s">
        <v>71</v>
      </c>
      <c r="D49" t="s">
        <v>72</v>
      </c>
      <c r="E49">
        <v>2</v>
      </c>
      <c r="F49">
        <v>2</v>
      </c>
      <c r="G49">
        <v>5</v>
      </c>
      <c r="H49">
        <v>5</v>
      </c>
      <c r="K49" s="14" t="s">
        <v>97</v>
      </c>
    </row>
    <row r="50" spans="2:11" x14ac:dyDescent="0.55000000000000004">
      <c r="B50">
        <v>48</v>
      </c>
      <c r="C50" t="s">
        <v>71</v>
      </c>
      <c r="D50" t="s">
        <v>73</v>
      </c>
      <c r="E50">
        <v>3</v>
      </c>
      <c r="F50">
        <v>3</v>
      </c>
      <c r="G50">
        <v>5</v>
      </c>
      <c r="H50">
        <v>5</v>
      </c>
      <c r="K50" t="s">
        <v>15</v>
      </c>
    </row>
    <row r="51" spans="2:11" x14ac:dyDescent="0.55000000000000004">
      <c r="B51">
        <v>49</v>
      </c>
      <c r="C51" t="s">
        <v>71</v>
      </c>
      <c r="D51" t="s">
        <v>74</v>
      </c>
      <c r="E51">
        <v>2</v>
      </c>
      <c r="F51">
        <v>2</v>
      </c>
      <c r="G51">
        <v>5</v>
      </c>
      <c r="H51">
        <v>5</v>
      </c>
      <c r="K51" s="14" t="s">
        <v>97</v>
      </c>
    </row>
    <row r="52" spans="2:11" x14ac:dyDescent="0.55000000000000004">
      <c r="B52">
        <v>50</v>
      </c>
      <c r="C52" t="s">
        <v>75</v>
      </c>
      <c r="D52" t="s">
        <v>83</v>
      </c>
      <c r="E52">
        <v>3</v>
      </c>
      <c r="F52">
        <v>3</v>
      </c>
      <c r="G52">
        <v>5</v>
      </c>
      <c r="H52">
        <v>5</v>
      </c>
      <c r="K52" t="s">
        <v>15</v>
      </c>
    </row>
    <row r="53" spans="2:11" x14ac:dyDescent="0.55000000000000004">
      <c r="B53">
        <v>51</v>
      </c>
      <c r="C53" t="s">
        <v>75</v>
      </c>
      <c r="D53" t="s">
        <v>84</v>
      </c>
      <c r="E53">
        <v>3</v>
      </c>
      <c r="F53">
        <v>3</v>
      </c>
      <c r="G53">
        <v>5</v>
      </c>
      <c r="H53">
        <v>5</v>
      </c>
      <c r="K53" s="14" t="s">
        <v>15</v>
      </c>
    </row>
    <row r="54" spans="2:11" x14ac:dyDescent="0.55000000000000004">
      <c r="B54">
        <v>52</v>
      </c>
      <c r="C54" t="s">
        <v>75</v>
      </c>
      <c r="D54" t="s">
        <v>85</v>
      </c>
      <c r="E54">
        <v>3</v>
      </c>
      <c r="F54">
        <v>3</v>
      </c>
      <c r="G54">
        <v>5</v>
      </c>
      <c r="H54">
        <v>5</v>
      </c>
      <c r="K54" t="s">
        <v>15</v>
      </c>
    </row>
    <row r="55" spans="2:11" x14ac:dyDescent="0.55000000000000004">
      <c r="B55">
        <v>53</v>
      </c>
      <c r="C55" t="s">
        <v>75</v>
      </c>
      <c r="D55" t="s">
        <v>86</v>
      </c>
      <c r="E55">
        <v>3</v>
      </c>
      <c r="F55">
        <v>3</v>
      </c>
      <c r="G55">
        <v>5</v>
      </c>
      <c r="H55">
        <v>5</v>
      </c>
      <c r="K55" s="14" t="s">
        <v>15</v>
      </c>
    </row>
    <row r="56" spans="2:11" x14ac:dyDescent="0.55000000000000004">
      <c r="B56">
        <v>54</v>
      </c>
      <c r="C56" t="s">
        <v>75</v>
      </c>
      <c r="D56" t="s">
        <v>87</v>
      </c>
      <c r="E56">
        <v>3</v>
      </c>
      <c r="F56">
        <v>3</v>
      </c>
      <c r="G56">
        <v>5</v>
      </c>
      <c r="H56">
        <v>5</v>
      </c>
      <c r="K56" t="s">
        <v>15</v>
      </c>
    </row>
    <row r="57" spans="2:11" x14ac:dyDescent="0.55000000000000004">
      <c r="B57">
        <v>55</v>
      </c>
      <c r="C57" t="s">
        <v>75</v>
      </c>
      <c r="D57" t="s">
        <v>88</v>
      </c>
      <c r="E57">
        <v>2</v>
      </c>
      <c r="F57">
        <v>2</v>
      </c>
      <c r="G57">
        <v>5</v>
      </c>
      <c r="H57">
        <v>5</v>
      </c>
      <c r="K57" s="14" t="s">
        <v>97</v>
      </c>
    </row>
    <row r="58" spans="2:11" x14ac:dyDescent="0.55000000000000004">
      <c r="B58">
        <v>56</v>
      </c>
      <c r="C58" t="s">
        <v>75</v>
      </c>
      <c r="D58" t="s">
        <v>89</v>
      </c>
      <c r="E58">
        <v>2</v>
      </c>
      <c r="F58">
        <v>2</v>
      </c>
      <c r="G58">
        <v>5</v>
      </c>
      <c r="H58">
        <v>5</v>
      </c>
      <c r="K58" t="s">
        <v>97</v>
      </c>
    </row>
    <row r="59" spans="2:11" x14ac:dyDescent="0.55000000000000004">
      <c r="B59">
        <v>57</v>
      </c>
      <c r="C59" t="s">
        <v>75</v>
      </c>
      <c r="D59" t="s">
        <v>90</v>
      </c>
      <c r="E59">
        <v>2</v>
      </c>
      <c r="F59">
        <v>1</v>
      </c>
      <c r="G59">
        <v>5</v>
      </c>
      <c r="H59">
        <v>5</v>
      </c>
      <c r="K59" s="14" t="s">
        <v>97</v>
      </c>
    </row>
    <row r="60" spans="2:11" x14ac:dyDescent="0.55000000000000004">
      <c r="B60">
        <v>58</v>
      </c>
      <c r="C60" t="s">
        <v>75</v>
      </c>
      <c r="D60" t="s">
        <v>91</v>
      </c>
      <c r="E60">
        <v>2</v>
      </c>
      <c r="F60">
        <v>2</v>
      </c>
      <c r="G60">
        <v>5</v>
      </c>
      <c r="H60">
        <v>5</v>
      </c>
      <c r="K60" t="s">
        <v>97</v>
      </c>
    </row>
    <row r="61" spans="2:11" x14ac:dyDescent="0.55000000000000004">
      <c r="B61">
        <v>59</v>
      </c>
      <c r="C61" t="s">
        <v>76</v>
      </c>
      <c r="D61" t="s">
        <v>80</v>
      </c>
      <c r="E61">
        <v>3</v>
      </c>
      <c r="F61">
        <v>3</v>
      </c>
      <c r="G61">
        <v>5</v>
      </c>
      <c r="H61">
        <v>5</v>
      </c>
      <c r="K61" s="14" t="s">
        <v>15</v>
      </c>
    </row>
    <row r="62" spans="2:11" x14ac:dyDescent="0.55000000000000004">
      <c r="B62">
        <v>60</v>
      </c>
      <c r="C62" t="s">
        <v>76</v>
      </c>
      <c r="D62" t="s">
        <v>81</v>
      </c>
      <c r="E62">
        <v>3</v>
      </c>
      <c r="F62">
        <v>3</v>
      </c>
      <c r="G62">
        <v>5</v>
      </c>
      <c r="H62">
        <v>5</v>
      </c>
      <c r="K62" t="s">
        <v>15</v>
      </c>
    </row>
    <row r="63" spans="2:11" x14ac:dyDescent="0.55000000000000004">
      <c r="B63">
        <v>61</v>
      </c>
      <c r="C63" t="s">
        <v>76</v>
      </c>
      <c r="D63" t="s">
        <v>82</v>
      </c>
      <c r="E63">
        <v>3</v>
      </c>
      <c r="F63">
        <v>2</v>
      </c>
      <c r="G63">
        <v>5</v>
      </c>
      <c r="H63">
        <v>5</v>
      </c>
      <c r="I63" s="3"/>
      <c r="K63" s="14" t="s">
        <v>15</v>
      </c>
    </row>
    <row r="64" spans="2:11" x14ac:dyDescent="0.55000000000000004">
      <c r="B64">
        <v>62</v>
      </c>
      <c r="C64" t="s">
        <v>76</v>
      </c>
      <c r="D64" t="s">
        <v>100</v>
      </c>
      <c r="E64">
        <v>3</v>
      </c>
      <c r="F64">
        <v>3</v>
      </c>
      <c r="G64">
        <v>5</v>
      </c>
      <c r="H64">
        <v>5</v>
      </c>
      <c r="K64" t="s">
        <v>15</v>
      </c>
    </row>
    <row r="65" spans="2:11" x14ac:dyDescent="0.55000000000000004">
      <c r="B65">
        <v>63</v>
      </c>
      <c r="C65" t="s">
        <v>101</v>
      </c>
      <c r="D65" t="s">
        <v>102</v>
      </c>
      <c r="E65">
        <v>3</v>
      </c>
      <c r="F65">
        <v>3</v>
      </c>
      <c r="G65">
        <v>5</v>
      </c>
      <c r="H65">
        <v>5</v>
      </c>
      <c r="K65" s="14" t="s">
        <v>97</v>
      </c>
    </row>
    <row r="66" spans="2:11" x14ac:dyDescent="0.55000000000000004">
      <c r="B66">
        <v>64</v>
      </c>
      <c r="C66" t="s">
        <v>101</v>
      </c>
      <c r="D66" t="s">
        <v>103</v>
      </c>
      <c r="E66">
        <v>3</v>
      </c>
      <c r="F66">
        <v>3</v>
      </c>
      <c r="G66">
        <v>5</v>
      </c>
      <c r="H66">
        <v>5</v>
      </c>
      <c r="K66" t="s">
        <v>97</v>
      </c>
    </row>
    <row r="67" spans="2:11" x14ac:dyDescent="0.55000000000000004">
      <c r="B67">
        <v>65</v>
      </c>
      <c r="C67" t="s">
        <v>101</v>
      </c>
      <c r="D67" t="s">
        <v>104</v>
      </c>
      <c r="E67">
        <v>2</v>
      </c>
      <c r="F67">
        <v>2</v>
      </c>
      <c r="G67">
        <v>5</v>
      </c>
      <c r="H67">
        <v>5</v>
      </c>
      <c r="K67" s="14" t="s">
        <v>97</v>
      </c>
    </row>
    <row r="68" spans="2:11" x14ac:dyDescent="0.55000000000000004">
      <c r="B68">
        <v>66</v>
      </c>
      <c r="C68" t="s">
        <v>101</v>
      </c>
      <c r="D68" t="s">
        <v>105</v>
      </c>
      <c r="E68" s="15">
        <v>2</v>
      </c>
      <c r="F68">
        <v>2</v>
      </c>
      <c r="G68">
        <v>5</v>
      </c>
      <c r="H68">
        <v>5</v>
      </c>
      <c r="K68" s="16" t="s">
        <v>97</v>
      </c>
    </row>
    <row r="69" spans="2:11" x14ac:dyDescent="0.55000000000000004">
      <c r="B69" s="1"/>
      <c r="C69" s="1"/>
      <c r="D69" s="1"/>
      <c r="E69" s="1" t="str">
        <f>"火晶は"&amp;COUNTIF(テーブル33[火晶レベル],1)+COUNTIF(テーブル33[火晶レベル],2)+COUNTIF(テーブル33[火晶レベル],3)&amp;"人"</f>
        <v>火晶は66人</v>
      </c>
      <c r="F69" s="1" t="str">
        <f>"盾火晶3は"&amp;COUNTIF(テーブル33[盾火晶],3)&amp;"人"</f>
        <v>盾火晶3は31人</v>
      </c>
      <c r="G69" s="1"/>
      <c r="H69" s="1"/>
      <c r="I69" s="1"/>
      <c r="J69" s="1"/>
      <c r="K69" s="1"/>
    </row>
    <row r="70" spans="2:11" x14ac:dyDescent="0.55000000000000004">
      <c r="B70" s="4"/>
      <c r="C70" s="4"/>
      <c r="D70" s="4" t="s">
        <v>16</v>
      </c>
      <c r="E70" s="5" t="str">
        <f>"火晶は"&amp;COUNTIF(テーブル33[火晶レベル],1)+COUNTIF(テーブル33[火晶レベル],2)+COUNTIF(テーブル33[火晶レベル],3)-22&amp;"人"</f>
        <v>火晶は44人</v>
      </c>
      <c r="F70" s="4"/>
      <c r="G70" s="4"/>
      <c r="H70" s="4"/>
      <c r="I70" s="4"/>
      <c r="J70" s="4"/>
      <c r="K70" s="4"/>
    </row>
    <row r="72" spans="2:11" x14ac:dyDescent="0.55000000000000004">
      <c r="C72" s="8"/>
      <c r="D72" s="9"/>
      <c r="E72" s="7" t="s">
        <v>20</v>
      </c>
      <c r="F72" s="6" t="s">
        <v>21</v>
      </c>
      <c r="G72" s="6" t="s">
        <v>24</v>
      </c>
    </row>
    <row r="73" spans="2:11" x14ac:dyDescent="0.55000000000000004">
      <c r="C73" s="6" t="s">
        <v>18</v>
      </c>
      <c r="D73" s="6"/>
      <c r="E73" s="6">
        <v>30</v>
      </c>
      <c r="F73" s="6">
        <f>COUNTIF(テーブル33[移籍先],"MMC")</f>
        <v>20</v>
      </c>
      <c r="G73" s="6">
        <f>COUNTIFS(テーブル33[移籍先],"MMC",テーブル33[盾火晶],3)</f>
        <v>2</v>
      </c>
    </row>
    <row r="74" spans="2:11" x14ac:dyDescent="0.55000000000000004">
      <c r="C74" s="6" t="s">
        <v>19</v>
      </c>
      <c r="D74" s="6"/>
      <c r="E74" s="6">
        <v>31</v>
      </c>
      <c r="F74" s="6">
        <f>COUNTIF(テーブル33[移籍先],"KFC")-COUNTIF(テーブル33[同盟],"KFC")</f>
        <v>19</v>
      </c>
      <c r="G74" s="6">
        <f>COUNTIFS(テーブル33[移籍先],"KFC",テーブル33[盾火晶],3)</f>
        <v>29</v>
      </c>
    </row>
    <row r="75" spans="2:11" x14ac:dyDescent="0.55000000000000004">
      <c r="C75" s="10" t="s">
        <v>22</v>
      </c>
      <c r="D75" s="11"/>
      <c r="E75" s="12"/>
      <c r="F75" s="6">
        <f>COUNTIF(テーブル33[移籍先],"")</f>
        <v>0</v>
      </c>
      <c r="G75" s="6">
        <v>0</v>
      </c>
    </row>
    <row r="76" spans="2:11" x14ac:dyDescent="0.55000000000000004">
      <c r="C76" s="1" t="s">
        <v>23</v>
      </c>
      <c r="D76" s="1"/>
      <c r="E76" s="1"/>
      <c r="F76" s="1"/>
      <c r="G76" s="1"/>
    </row>
    <row r="78" spans="2:11" x14ac:dyDescent="0.55000000000000004">
      <c r="C78" t="s">
        <v>15</v>
      </c>
      <c r="D78" t="s">
        <v>92</v>
      </c>
      <c r="E78">
        <v>30</v>
      </c>
    </row>
    <row r="79" spans="2:11" x14ac:dyDescent="0.55000000000000004">
      <c r="C79" t="s">
        <v>15</v>
      </c>
      <c r="D79" t="s">
        <v>93</v>
      </c>
      <c r="E79">
        <v>30</v>
      </c>
    </row>
    <row r="80" spans="2:11" x14ac:dyDescent="0.55000000000000004">
      <c r="C80" t="s">
        <v>15</v>
      </c>
      <c r="D80" t="s">
        <v>78</v>
      </c>
      <c r="E80">
        <v>29</v>
      </c>
    </row>
    <row r="81" spans="3:5" x14ac:dyDescent="0.55000000000000004">
      <c r="C81" t="s">
        <v>15</v>
      </c>
      <c r="D81" t="s">
        <v>94</v>
      </c>
      <c r="E81">
        <v>30</v>
      </c>
    </row>
    <row r="82" spans="3:5" x14ac:dyDescent="0.55000000000000004">
      <c r="C82" t="s">
        <v>15</v>
      </c>
      <c r="D82" t="s">
        <v>95</v>
      </c>
      <c r="E82">
        <v>29</v>
      </c>
    </row>
    <row r="83" spans="3:5" x14ac:dyDescent="0.55000000000000004">
      <c r="C83" t="s">
        <v>15</v>
      </c>
      <c r="D83" t="s">
        <v>79</v>
      </c>
      <c r="E83">
        <v>27</v>
      </c>
    </row>
    <row r="84" spans="3:5" x14ac:dyDescent="0.55000000000000004">
      <c r="C84" t="s">
        <v>15</v>
      </c>
      <c r="D84" t="s">
        <v>77</v>
      </c>
      <c r="E84">
        <v>30</v>
      </c>
    </row>
    <row r="85" spans="3:5" x14ac:dyDescent="0.55000000000000004">
      <c r="C85" t="s">
        <v>15</v>
      </c>
      <c r="D85" t="s">
        <v>96</v>
      </c>
      <c r="E85">
        <v>27</v>
      </c>
    </row>
  </sheetData>
  <phoneticPr fontId="1"/>
  <conditionalFormatting sqref="F3:F68">
    <cfRule type="cellIs" dxfId="17" priority="2" operator="greaterThanOrEqual">
      <formula>3</formula>
    </cfRule>
  </conditionalFormatting>
  <conditionalFormatting sqref="G3:H68">
    <cfRule type="cellIs" dxfId="16" priority="1" operator="lessThanOrEqual">
      <formula>4</formula>
    </cfRule>
  </conditionalFormatting>
  <conditionalFormatting sqref="O15:O17">
    <cfRule type="cellIs" dxfId="15" priority="4" operator="greaterThanOrEqual">
      <formula>3</formula>
    </cfRule>
  </conditionalFormatting>
  <conditionalFormatting sqref="P11">
    <cfRule type="cellIs" dxfId="14" priority="6" operator="greaterThanOrEqual">
      <formula>3</formula>
    </cfRule>
  </conditionalFormatting>
  <conditionalFormatting sqref="P15:Q17">
    <cfRule type="cellIs" dxfId="13" priority="3" operator="lessThanOrEqual">
      <formula>4</formula>
    </cfRule>
  </conditionalFormatting>
  <conditionalFormatting sqref="Q11:R11">
    <cfRule type="cellIs" dxfId="12" priority="5" operator="lessThanOrEqual">
      <formula>4</formula>
    </cfRule>
  </conditionalFormatting>
  <pageMargins left="0.7" right="0.7" top="0.75" bottom="0.75" header="0.3" footer="0.3"/>
  <pageSetup paperSize="9" scale="47" fitToWidth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2026-05-15T22:18:19Z</dcterms:created>
  <dcterms:modified xsi:type="dcterms:W3CDTF">2026-05-21T03:28:34Z</dcterms:modified>
</cp:coreProperties>
</file>