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B7C3606F-C3CB-4E4D-836B-8F679DD5EF9D}" xr6:coauthVersionLast="47" xr6:coauthVersionMax="47" xr10:uidLastSave="{00000000-0000-0000-0000-000000000000}"/>
  <bookViews>
    <workbookView xWindow="-110" yWindow="-110" windowWidth="23260" windowHeight="14860" xr2:uid="{9E63B997-7E97-4022-9E85-807A8163A3AC}"/>
  </bookViews>
  <sheets>
    <sheet name="260717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8" l="1"/>
  <c r="F74" i="8"/>
  <c r="H74" i="8" s="1"/>
  <c r="F73" i="8"/>
  <c r="H73" i="8" s="1"/>
  <c r="E74" i="8"/>
  <c r="F70" i="8"/>
  <c r="E70" i="8"/>
  <c r="H75" i="8" l="1"/>
</calcChain>
</file>

<file path=xl/sharedStrings.xml><?xml version="1.0" encoding="utf-8"?>
<sst xmlns="http://schemas.openxmlformats.org/spreadsheetml/2006/main" count="244" uniqueCount="93">
  <si>
    <t>フレンダー</t>
    <phoneticPr fontId="1"/>
  </si>
  <si>
    <t>同盟</t>
    <rPh sb="0" eb="2">
      <t>ドウメイ</t>
    </rPh>
    <phoneticPr fontId="1"/>
  </si>
  <si>
    <t>名前</t>
    <rPh sb="0" eb="2">
      <t>ナマエ</t>
    </rPh>
    <phoneticPr fontId="1"/>
  </si>
  <si>
    <t>MMC</t>
    <phoneticPr fontId="1"/>
  </si>
  <si>
    <t>rlx</t>
    <phoneticPr fontId="1"/>
  </si>
  <si>
    <t>備考</t>
    <phoneticPr fontId="1"/>
  </si>
  <si>
    <t>移籍先</t>
    <rPh sb="0" eb="3">
      <t>イセキサキ</t>
    </rPh>
    <phoneticPr fontId="1"/>
  </si>
  <si>
    <t>列1</t>
  </si>
  <si>
    <t>盾</t>
    <rPh sb="0" eb="1">
      <t>タテ</t>
    </rPh>
    <phoneticPr fontId="1"/>
  </si>
  <si>
    <t>槍</t>
    <rPh sb="0" eb="1">
      <t>ヤリ</t>
    </rPh>
    <phoneticPr fontId="1"/>
  </si>
  <si>
    <t>弓</t>
    <rPh sb="0" eb="1">
      <t>ユミ</t>
    </rPh>
    <phoneticPr fontId="1"/>
  </si>
  <si>
    <t>火晶</t>
    <rPh sb="0" eb="1">
      <t>ヒ</t>
    </rPh>
    <rPh sb="1" eb="2">
      <t>アキラ</t>
    </rPh>
    <phoneticPr fontId="1"/>
  </si>
  <si>
    <t>KFC</t>
  </si>
  <si>
    <t>wan</t>
    <phoneticPr fontId="1"/>
  </si>
  <si>
    <t>Ris</t>
    <phoneticPr fontId="1"/>
  </si>
  <si>
    <t>受け入れ可能人数</t>
    <rPh sb="0" eb="1">
      <t>ウ</t>
    </rPh>
    <rPh sb="2" eb="3">
      <t>イ</t>
    </rPh>
    <rPh sb="4" eb="8">
      <t>カノウニンズウ</t>
    </rPh>
    <phoneticPr fontId="1"/>
  </si>
  <si>
    <t>火晶人数</t>
    <rPh sb="0" eb="2">
      <t>カショウ</t>
    </rPh>
    <rPh sb="2" eb="4">
      <t>ニンズウ</t>
    </rPh>
    <phoneticPr fontId="1"/>
  </si>
  <si>
    <t>移動人数</t>
    <rPh sb="0" eb="2">
      <t>イドウ</t>
    </rPh>
    <rPh sb="2" eb="4">
      <t>ニンズウ</t>
    </rPh>
    <phoneticPr fontId="1"/>
  </si>
  <si>
    <t>rlx</t>
  </si>
  <si>
    <t>ゆうな</t>
  </si>
  <si>
    <t>列2</t>
    <phoneticPr fontId="1"/>
  </si>
  <si>
    <t>列3</t>
    <phoneticPr fontId="1"/>
  </si>
  <si>
    <t>Yokohama</t>
  </si>
  <si>
    <t>25時まで</t>
  </si>
  <si>
    <t>ねね鹿</t>
  </si>
  <si>
    <t>かけもち</t>
  </si>
  <si>
    <t>MORO</t>
  </si>
  <si>
    <t>クエン</t>
  </si>
  <si>
    <t>はろるど</t>
  </si>
  <si>
    <t>少し遅れる</t>
  </si>
  <si>
    <t>あーちゃ</t>
  </si>
  <si>
    <t>Co</t>
  </si>
  <si>
    <t>途中退場</t>
  </si>
  <si>
    <t>おいもちゃん</t>
  </si>
  <si>
    <t>オルカ</t>
  </si>
  <si>
    <t>チーズナン</t>
  </si>
  <si>
    <t>うまさめ</t>
  </si>
  <si>
    <t>wan</t>
  </si>
  <si>
    <t>tomotomo</t>
  </si>
  <si>
    <t>ロッキー</t>
  </si>
  <si>
    <t>ポメプー</t>
  </si>
  <si>
    <t>オハラ</t>
  </si>
  <si>
    <t>ちゃま</t>
  </si>
  <si>
    <t>とぼけいぬ</t>
  </si>
  <si>
    <t>エミリア</t>
  </si>
  <si>
    <t>lord...059</t>
  </si>
  <si>
    <t>ポメプーさんサブ</t>
  </si>
  <si>
    <t>DON</t>
  </si>
  <si>
    <t>NAO</t>
  </si>
  <si>
    <t>Ris</t>
  </si>
  <si>
    <t>ぺーさん</t>
  </si>
  <si>
    <t>にーも</t>
  </si>
  <si>
    <t>ぴろっち</t>
  </si>
  <si>
    <t>そらりん</t>
  </si>
  <si>
    <t>KRr</t>
  </si>
  <si>
    <t>TKC</t>
  </si>
  <si>
    <t>ねこてん</t>
  </si>
  <si>
    <t>Sora</t>
  </si>
  <si>
    <t>JFW</t>
  </si>
  <si>
    <t>魚犬</t>
  </si>
  <si>
    <t>MMC希望</t>
  </si>
  <si>
    <t>オーキッド</t>
  </si>
  <si>
    <t>松戸MAX</t>
  </si>
  <si>
    <t>jiki</t>
  </si>
  <si>
    <t>RTS</t>
  </si>
  <si>
    <t>てんてん</t>
  </si>
  <si>
    <t>MMC</t>
  </si>
  <si>
    <t>わからん</t>
  </si>
  <si>
    <t>harupon</t>
  </si>
  <si>
    <t>ringo</t>
  </si>
  <si>
    <t>マンダラ</t>
  </si>
  <si>
    <t>明太もちチーズ</t>
  </si>
  <si>
    <t>ショーン伍長</t>
  </si>
  <si>
    <t>愛犬クル</t>
  </si>
  <si>
    <t>くま3</t>
  </si>
  <si>
    <t>こた</t>
  </si>
  <si>
    <t>ハンギョ</t>
  </si>
  <si>
    <t>mii</t>
  </si>
  <si>
    <t>とりあえずビール</t>
  </si>
  <si>
    <t>なはらた</t>
  </si>
  <si>
    <t>れくさす</t>
  </si>
  <si>
    <t>KENT</t>
  </si>
  <si>
    <t>すん</t>
  </si>
  <si>
    <t>MGA</t>
  </si>
  <si>
    <t>あっちゃん</t>
  </si>
  <si>
    <t>ナーナ</t>
  </si>
  <si>
    <t>mrun</t>
  </si>
  <si>
    <t>カシマアントラーズ</t>
  </si>
  <si>
    <t>サブケン</t>
  </si>
  <si>
    <t>Yucat</t>
  </si>
  <si>
    <t>こぼたん</t>
  </si>
  <si>
    <t>雪乃</t>
    <rPh sb="0" eb="1">
      <t>ユキ</t>
    </rPh>
    <rPh sb="1" eb="2">
      <t>ノ</t>
    </rPh>
    <phoneticPr fontId="1"/>
  </si>
  <si>
    <t>MMC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</si>
</sst>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メイリオ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3" fillId="5" borderId="0" xfId="0" applyFont="1" applyFill="1">
      <alignment vertical="center"/>
    </xf>
    <xf numFmtId="0" fontId="0" fillId="2" borderId="2" xfId="0" applyFill="1" applyBorder="1" applyAlignment="1">
      <alignment horizontal="center" vertical="center"/>
    </xf>
    <xf numFmtId="0" fontId="3" fillId="0" borderId="0" xfId="0" applyFont="1" applyFill="1">
      <alignment vertical="center"/>
    </xf>
  </cellXfs>
  <cellStyles count="1">
    <cellStyle name="標準" xfId="0" builtinId="0"/>
  </cellStyles>
  <dxfs count="33"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</dxf>
    <dxf>
      <fill>
        <patternFill>
          <fgColor rgb="FF000000"/>
          <bgColor rgb="FFFFFFFF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border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テーブル スタイル 1" pivot="0" count="3" xr9:uid="{8438CCF6-7EAA-4BC3-B225-1093B6C1424D}">
      <tableStyleElement type="wholeTable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D631A-DFA9-4525-A02D-1860A1523552}" name="テーブル3252" displayName="テーブル3252" ref="B2:M70" insertRowShift="1" totalsRowCount="1" headerRowDxfId="29" totalsRowDxfId="28">
  <autoFilter ref="B2:M69" xr:uid="{EF4F626B-CF28-4E0F-85D0-EEDB04574A10}">
    <filterColumn colId="3">
      <filters>
        <filter val="4"/>
        <filter val="5"/>
      </filters>
    </filterColumn>
  </autoFilter>
  <tableColumns count="12">
    <tableColumn id="11" xr3:uid="{6DE41A3E-58F7-414C-A50B-0AC35949250C}" name="列1" dataDxfId="27" totalsRowDxfId="26"/>
    <tableColumn id="1" xr3:uid="{E3F8D571-7247-4F66-A6DC-54BEDB8B6D85}" name="同盟" dataDxfId="25" totalsRowDxfId="24"/>
    <tableColumn id="2" xr3:uid="{436428CC-A602-4E4A-AB3F-7FCDC52F8292}" name="名前" dataDxfId="23" totalsRowDxfId="22"/>
    <tableColumn id="3" xr3:uid="{34FEBFDC-CFF7-40AB-9DA9-A0C66CAA5E21}" name="火晶" totalsRowFunction="custom" dataDxfId="21" totalsRowDxfId="20">
      <totalsRowFormula>"火晶は"&amp;COUNTIF(テーブル3252[火晶],1)+COUNTIF(テーブル3252[火晶],2)+COUNTIF(テーブル3252[火晶],3)+COUNTIF(テーブル3252[火晶],4)+COUNTIF(テーブル3252[火晶],5)&amp;"人"</totalsRowFormula>
    </tableColumn>
    <tableColumn id="4" xr3:uid="{FC7733B2-B13D-4541-B48D-6310CB98EA09}" name="盾" totalsRowFunction="custom" dataDxfId="19" totalsRowDxfId="18">
      <totalsRowFormula>"盾火晶5は"&amp;COUNTIF(テーブル3252[盾],5)&amp;"人"</totalsRowFormula>
    </tableColumn>
    <tableColumn id="12" xr3:uid="{12934764-51A3-4A4D-9963-F8F425CA8482}" name="槍" dataDxfId="17" totalsRowDxfId="16"/>
    <tableColumn id="10" xr3:uid="{03F30CC7-3A96-4680-B7C5-8B4657506044}" name="弓" dataDxfId="15" totalsRowDxfId="14"/>
    <tableColumn id="7" xr3:uid="{B345BAB1-1688-4ED4-BC14-783FB67A8934}" name="フレンダー" totalsRowDxfId="13"/>
    <tableColumn id="8" xr3:uid="{726B27C4-8F6D-4724-9824-9C3FE8778ACB}" name="備考" dataDxfId="12" totalsRowDxfId="11"/>
    <tableColumn id="9" xr3:uid="{65F52DB5-409E-41F8-BF85-D7C77B6051FF}" name="移籍先" dataDxfId="10" totalsRowDxfId="9"/>
    <tableColumn id="13" xr3:uid="{14C4D7F5-5B56-4114-88EC-224BFA2FAB24}" name="列2" dataDxfId="8" totalsRowDxfId="7"/>
    <tableColumn id="16" xr3:uid="{73AE58FE-1D51-4092-906A-BE8E032444F1}" name="列3" dataDxfId="6" totalsRowDxfId="5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8A91-B48D-463E-AC7B-4DD6F2036710}">
  <sheetPr>
    <pageSetUpPr fitToPage="1"/>
  </sheetPr>
  <dimension ref="B2:M77"/>
  <sheetViews>
    <sheetView tabSelected="1" zoomScale="55" zoomScaleNormal="55" workbookViewId="0">
      <pane ySplit="2" topLeftCell="A3" activePane="bottomLeft" state="frozen"/>
      <selection pane="bottomLeft" activeCell="R15" sqref="R15"/>
    </sheetView>
  </sheetViews>
  <sheetFormatPr defaultRowHeight="18" x14ac:dyDescent="0.55000000000000004"/>
  <cols>
    <col min="3" max="3" width="8.25" customWidth="1"/>
    <col min="4" max="4" width="16.58203125" customWidth="1"/>
    <col min="5" max="5" width="10.08203125" customWidth="1"/>
    <col min="6" max="8" width="6.58203125" customWidth="1"/>
    <col min="9" max="9" width="14.1640625" hidden="1" customWidth="1"/>
    <col min="10" max="10" width="18" customWidth="1"/>
  </cols>
  <sheetData>
    <row r="2" spans="2:13" x14ac:dyDescent="0.55000000000000004">
      <c r="B2" s="2" t="s">
        <v>7</v>
      </c>
      <c r="C2" s="2" t="s">
        <v>1</v>
      </c>
      <c r="D2" s="2" t="s">
        <v>2</v>
      </c>
      <c r="E2" s="2" t="s">
        <v>11</v>
      </c>
      <c r="F2" s="2" t="s">
        <v>8</v>
      </c>
      <c r="G2" s="2" t="s">
        <v>9</v>
      </c>
      <c r="H2" s="2" t="s">
        <v>10</v>
      </c>
      <c r="I2" s="2" t="s">
        <v>0</v>
      </c>
      <c r="J2" s="2" t="s">
        <v>5</v>
      </c>
      <c r="K2" s="2" t="s">
        <v>6</v>
      </c>
      <c r="L2" s="2" t="s">
        <v>20</v>
      </c>
      <c r="M2" s="2" t="s">
        <v>21</v>
      </c>
    </row>
    <row r="3" spans="2:13" x14ac:dyDescent="0.55000000000000004">
      <c r="B3" s="7">
        <v>1</v>
      </c>
      <c r="C3" s="7" t="s">
        <v>18</v>
      </c>
      <c r="D3" s="7" t="s">
        <v>22</v>
      </c>
      <c r="E3" s="7">
        <v>5</v>
      </c>
      <c r="F3" s="7">
        <v>5</v>
      </c>
      <c r="G3" s="7">
        <v>5</v>
      </c>
      <c r="H3" s="7">
        <v>5</v>
      </c>
      <c r="I3" t="s">
        <v>23</v>
      </c>
      <c r="J3" s="7" t="s">
        <v>23</v>
      </c>
      <c r="K3" s="7" t="s">
        <v>18</v>
      </c>
      <c r="L3" s="7"/>
      <c r="M3" s="7"/>
    </row>
    <row r="4" spans="2:13" x14ac:dyDescent="0.55000000000000004">
      <c r="B4" s="7">
        <v>2</v>
      </c>
      <c r="C4" s="7" t="s">
        <v>18</v>
      </c>
      <c r="D4" s="7" t="s">
        <v>24</v>
      </c>
      <c r="E4" s="7">
        <v>5</v>
      </c>
      <c r="F4" s="7">
        <v>5</v>
      </c>
      <c r="G4" s="7">
        <v>4</v>
      </c>
      <c r="H4" s="7">
        <v>4</v>
      </c>
      <c r="I4" t="s">
        <v>25</v>
      </c>
      <c r="J4" s="7" t="s">
        <v>25</v>
      </c>
      <c r="K4" s="7" t="s">
        <v>18</v>
      </c>
      <c r="L4" s="7"/>
      <c r="M4" s="7"/>
    </row>
    <row r="5" spans="2:13" x14ac:dyDescent="0.55000000000000004">
      <c r="B5" s="7">
        <v>3</v>
      </c>
      <c r="C5" s="7" t="s">
        <v>18</v>
      </c>
      <c r="D5" s="7" t="s">
        <v>26</v>
      </c>
      <c r="E5" s="7">
        <v>5</v>
      </c>
      <c r="F5" s="7">
        <v>5</v>
      </c>
      <c r="G5" s="7">
        <v>5</v>
      </c>
      <c r="H5" s="7">
        <v>5</v>
      </c>
      <c r="J5" s="7"/>
      <c r="K5" s="7" t="s">
        <v>18</v>
      </c>
      <c r="L5" s="7"/>
      <c r="M5" s="7"/>
    </row>
    <row r="6" spans="2:13" x14ac:dyDescent="0.55000000000000004">
      <c r="B6" s="7">
        <v>4</v>
      </c>
      <c r="C6" s="12" t="s">
        <v>18</v>
      </c>
      <c r="D6" s="7" t="s">
        <v>19</v>
      </c>
      <c r="E6" s="7">
        <v>5</v>
      </c>
      <c r="F6" s="7">
        <v>5</v>
      </c>
      <c r="G6" s="7">
        <v>4</v>
      </c>
      <c r="H6" s="7">
        <v>4</v>
      </c>
      <c r="J6" s="7"/>
      <c r="K6" s="7" t="s">
        <v>18</v>
      </c>
      <c r="L6" s="7"/>
      <c r="M6" s="7"/>
    </row>
    <row r="7" spans="2:13" x14ac:dyDescent="0.55000000000000004">
      <c r="B7" s="7">
        <v>5</v>
      </c>
      <c r="C7" s="12" t="s">
        <v>18</v>
      </c>
      <c r="D7" s="7" t="s">
        <v>27</v>
      </c>
      <c r="E7" s="7">
        <v>5</v>
      </c>
      <c r="F7" s="7">
        <v>5</v>
      </c>
      <c r="G7" s="7">
        <v>5</v>
      </c>
      <c r="H7" s="7">
        <v>5</v>
      </c>
      <c r="J7" s="7"/>
      <c r="K7" s="7" t="s">
        <v>18</v>
      </c>
      <c r="L7" s="7"/>
      <c r="M7" s="7"/>
    </row>
    <row r="8" spans="2:13" x14ac:dyDescent="0.55000000000000004">
      <c r="B8" s="7">
        <v>6</v>
      </c>
      <c r="C8" s="12" t="s">
        <v>18</v>
      </c>
      <c r="D8" s="7" t="s">
        <v>28</v>
      </c>
      <c r="E8" s="7">
        <v>5</v>
      </c>
      <c r="F8" s="7">
        <v>5</v>
      </c>
      <c r="G8" s="7">
        <v>5</v>
      </c>
      <c r="H8" s="7">
        <v>5</v>
      </c>
      <c r="I8" t="s">
        <v>29</v>
      </c>
      <c r="J8" s="7" t="s">
        <v>29</v>
      </c>
      <c r="K8" s="7" t="s">
        <v>18</v>
      </c>
      <c r="L8" s="7"/>
      <c r="M8" s="7"/>
    </row>
    <row r="9" spans="2:13" x14ac:dyDescent="0.55000000000000004">
      <c r="B9" s="7">
        <v>7</v>
      </c>
      <c r="C9" s="12" t="s">
        <v>18</v>
      </c>
      <c r="D9" s="7" t="s">
        <v>30</v>
      </c>
      <c r="E9" s="7">
        <v>5</v>
      </c>
      <c r="F9" s="7">
        <v>5</v>
      </c>
      <c r="G9" s="7">
        <v>5</v>
      </c>
      <c r="H9" s="7">
        <v>4</v>
      </c>
      <c r="J9" s="7"/>
      <c r="K9" s="7" t="s">
        <v>18</v>
      </c>
      <c r="L9" s="7"/>
      <c r="M9" s="7"/>
    </row>
    <row r="10" spans="2:13" x14ac:dyDescent="0.55000000000000004">
      <c r="B10" s="7">
        <v>8</v>
      </c>
      <c r="C10" s="12" t="s">
        <v>18</v>
      </c>
      <c r="D10" s="7" t="s">
        <v>31</v>
      </c>
      <c r="E10" s="7">
        <v>4</v>
      </c>
      <c r="F10" s="7">
        <v>4</v>
      </c>
      <c r="G10" s="7">
        <v>4</v>
      </c>
      <c r="H10" s="7">
        <v>4</v>
      </c>
      <c r="I10" t="s">
        <v>32</v>
      </c>
      <c r="J10" s="7" t="s">
        <v>32</v>
      </c>
      <c r="K10" s="7" t="s">
        <v>18</v>
      </c>
      <c r="L10" s="7"/>
      <c r="M10" s="7"/>
    </row>
    <row r="11" spans="2:13" x14ac:dyDescent="0.55000000000000004">
      <c r="B11" s="7">
        <v>9</v>
      </c>
      <c r="C11" s="12" t="s">
        <v>18</v>
      </c>
      <c r="D11" s="7" t="s">
        <v>33</v>
      </c>
      <c r="E11" s="7">
        <v>4</v>
      </c>
      <c r="F11" s="7">
        <v>4</v>
      </c>
      <c r="G11" s="7">
        <v>4</v>
      </c>
      <c r="H11" s="7">
        <v>4</v>
      </c>
      <c r="J11" s="7"/>
      <c r="K11" s="7" t="s">
        <v>18</v>
      </c>
      <c r="L11" s="7"/>
      <c r="M11" s="7"/>
    </row>
    <row r="12" spans="2:13" x14ac:dyDescent="0.55000000000000004">
      <c r="B12" s="7">
        <v>10</v>
      </c>
      <c r="C12" s="12" t="s">
        <v>18</v>
      </c>
      <c r="D12" s="7" t="s">
        <v>34</v>
      </c>
      <c r="E12" s="7">
        <v>5</v>
      </c>
      <c r="F12" s="7">
        <v>5</v>
      </c>
      <c r="G12" s="7">
        <v>4</v>
      </c>
      <c r="H12" s="7">
        <v>4</v>
      </c>
      <c r="J12" s="7"/>
      <c r="K12" s="7" t="s">
        <v>18</v>
      </c>
      <c r="L12" s="7"/>
      <c r="M12" s="7"/>
    </row>
    <row r="13" spans="2:13" x14ac:dyDescent="0.55000000000000004">
      <c r="B13" s="7">
        <v>11</v>
      </c>
      <c r="C13" s="12" t="s">
        <v>18</v>
      </c>
      <c r="D13" s="7" t="s">
        <v>35</v>
      </c>
      <c r="E13" s="7">
        <v>4</v>
      </c>
      <c r="F13" s="7">
        <v>4</v>
      </c>
      <c r="G13" s="7">
        <v>4</v>
      </c>
      <c r="H13" s="7">
        <v>3</v>
      </c>
      <c r="J13" s="7"/>
      <c r="K13" s="7" t="s">
        <v>18</v>
      </c>
      <c r="L13" s="7"/>
      <c r="M13" s="7"/>
    </row>
    <row r="14" spans="2:13" x14ac:dyDescent="0.55000000000000004">
      <c r="B14" s="7">
        <v>12</v>
      </c>
      <c r="C14" s="12" t="s">
        <v>18</v>
      </c>
      <c r="D14" s="7" t="s">
        <v>36</v>
      </c>
      <c r="E14" s="7">
        <v>4</v>
      </c>
      <c r="F14" s="7">
        <v>4</v>
      </c>
      <c r="G14" s="7">
        <v>3</v>
      </c>
      <c r="H14" s="7">
        <v>3</v>
      </c>
      <c r="J14" s="7"/>
      <c r="K14" s="7" t="s">
        <v>18</v>
      </c>
      <c r="L14" s="7"/>
      <c r="M14" s="7"/>
    </row>
    <row r="15" spans="2:13" x14ac:dyDescent="0.55000000000000004">
      <c r="B15" s="7">
        <v>13</v>
      </c>
      <c r="C15" s="12" t="s">
        <v>13</v>
      </c>
      <c r="D15" s="7" t="s">
        <v>38</v>
      </c>
      <c r="E15" s="7">
        <v>4</v>
      </c>
      <c r="F15" s="7">
        <v>4</v>
      </c>
      <c r="G15" s="7">
        <v>4</v>
      </c>
      <c r="H15" s="7">
        <v>4</v>
      </c>
      <c r="J15" s="7"/>
      <c r="K15" s="7" t="s">
        <v>18</v>
      </c>
      <c r="L15" s="7"/>
      <c r="M15" s="7"/>
    </row>
    <row r="16" spans="2:13" x14ac:dyDescent="0.55000000000000004">
      <c r="B16" s="7">
        <v>14</v>
      </c>
      <c r="C16" s="12" t="s">
        <v>37</v>
      </c>
      <c r="D16" s="7" t="s">
        <v>39</v>
      </c>
      <c r="E16" s="7">
        <v>5</v>
      </c>
      <c r="F16" s="7">
        <v>5</v>
      </c>
      <c r="G16" s="7">
        <v>5</v>
      </c>
      <c r="H16" s="7">
        <v>5</v>
      </c>
      <c r="J16" s="7"/>
      <c r="K16" s="7" t="s">
        <v>18</v>
      </c>
      <c r="L16" s="7"/>
      <c r="M16" s="7"/>
    </row>
    <row r="17" spans="2:13" x14ac:dyDescent="0.55000000000000004">
      <c r="B17" s="7">
        <v>15</v>
      </c>
      <c r="C17" s="12" t="s">
        <v>37</v>
      </c>
      <c r="D17" s="7" t="s">
        <v>40</v>
      </c>
      <c r="E17" s="7">
        <v>5</v>
      </c>
      <c r="F17" s="7">
        <v>5</v>
      </c>
      <c r="G17" s="7">
        <v>5</v>
      </c>
      <c r="H17" s="7">
        <v>5</v>
      </c>
      <c r="J17" s="7"/>
      <c r="K17" s="7" t="s">
        <v>18</v>
      </c>
      <c r="L17" s="7"/>
      <c r="M17" s="7"/>
    </row>
    <row r="18" spans="2:13" x14ac:dyDescent="0.55000000000000004">
      <c r="B18" s="7">
        <v>16</v>
      </c>
      <c r="C18" s="12" t="s">
        <v>37</v>
      </c>
      <c r="D18" s="7" t="s">
        <v>41</v>
      </c>
      <c r="E18" s="7">
        <v>5</v>
      </c>
      <c r="F18" s="7">
        <v>4</v>
      </c>
      <c r="G18" s="7">
        <v>4</v>
      </c>
      <c r="H18" s="7">
        <v>4</v>
      </c>
      <c r="J18" s="7"/>
      <c r="K18" s="7" t="s">
        <v>18</v>
      </c>
      <c r="L18" s="7"/>
      <c r="M18" s="7"/>
    </row>
    <row r="19" spans="2:13" x14ac:dyDescent="0.55000000000000004">
      <c r="B19" s="7">
        <v>17</v>
      </c>
      <c r="C19" s="12" t="s">
        <v>37</v>
      </c>
      <c r="D19" s="7" t="s">
        <v>42</v>
      </c>
      <c r="E19" s="7">
        <v>5</v>
      </c>
      <c r="F19" s="7">
        <v>4</v>
      </c>
      <c r="G19" s="7">
        <v>4</v>
      </c>
      <c r="H19" s="7">
        <v>4</v>
      </c>
      <c r="J19" s="7"/>
      <c r="K19" s="7" t="s">
        <v>18</v>
      </c>
      <c r="L19" s="7"/>
      <c r="M19" s="7"/>
    </row>
    <row r="20" spans="2:13" x14ac:dyDescent="0.55000000000000004">
      <c r="B20" s="7">
        <v>18</v>
      </c>
      <c r="C20" s="12" t="s">
        <v>37</v>
      </c>
      <c r="D20" s="7" t="s">
        <v>43</v>
      </c>
      <c r="E20" s="7">
        <v>5</v>
      </c>
      <c r="F20" s="7">
        <v>5</v>
      </c>
      <c r="G20" s="7">
        <v>4</v>
      </c>
      <c r="H20" s="7">
        <v>4</v>
      </c>
      <c r="J20" s="7"/>
      <c r="K20" s="7" t="s">
        <v>18</v>
      </c>
      <c r="L20" s="7"/>
      <c r="M20" s="7"/>
    </row>
    <row r="21" spans="2:13" x14ac:dyDescent="0.55000000000000004">
      <c r="B21" s="7">
        <v>19</v>
      </c>
      <c r="C21" s="12" t="s">
        <v>37</v>
      </c>
      <c r="D21" s="7" t="s">
        <v>44</v>
      </c>
      <c r="E21" s="7">
        <v>5</v>
      </c>
      <c r="F21" s="7">
        <v>5</v>
      </c>
      <c r="G21" s="7">
        <v>5</v>
      </c>
      <c r="H21" s="7">
        <v>4</v>
      </c>
      <c r="J21" s="7"/>
      <c r="K21" s="7" t="s">
        <v>18</v>
      </c>
      <c r="L21" s="7"/>
      <c r="M21" s="7"/>
    </row>
    <row r="22" spans="2:13" x14ac:dyDescent="0.55000000000000004">
      <c r="B22" s="7">
        <v>20</v>
      </c>
      <c r="C22" s="12" t="s">
        <v>37</v>
      </c>
      <c r="D22" s="7" t="s">
        <v>45</v>
      </c>
      <c r="E22" s="7">
        <v>4</v>
      </c>
      <c r="F22" s="7">
        <v>4</v>
      </c>
      <c r="G22" s="7">
        <v>2</v>
      </c>
      <c r="H22" s="7">
        <v>3</v>
      </c>
      <c r="I22" t="s">
        <v>46</v>
      </c>
      <c r="J22" s="7" t="s">
        <v>46</v>
      </c>
      <c r="K22" s="7" t="s">
        <v>18</v>
      </c>
      <c r="L22" s="7"/>
      <c r="M22" s="7"/>
    </row>
    <row r="23" spans="2:13" x14ac:dyDescent="0.55000000000000004">
      <c r="B23" s="7">
        <v>21</v>
      </c>
      <c r="C23" s="12" t="s">
        <v>47</v>
      </c>
      <c r="D23" s="7" t="s">
        <v>48</v>
      </c>
      <c r="E23" s="7">
        <v>5</v>
      </c>
      <c r="F23" s="7">
        <v>5</v>
      </c>
      <c r="G23" s="7">
        <v>5</v>
      </c>
      <c r="H23" s="7">
        <v>5</v>
      </c>
      <c r="J23" s="7"/>
      <c r="K23" s="7" t="s">
        <v>4</v>
      </c>
      <c r="L23" s="7"/>
      <c r="M23" s="7"/>
    </row>
    <row r="24" spans="2:13" x14ac:dyDescent="0.55000000000000004">
      <c r="B24" s="7">
        <v>22</v>
      </c>
      <c r="C24" s="12" t="s">
        <v>49</v>
      </c>
      <c r="D24" s="7" t="s">
        <v>50</v>
      </c>
      <c r="E24" s="7">
        <v>5</v>
      </c>
      <c r="F24" s="7">
        <v>5</v>
      </c>
      <c r="G24" s="7">
        <v>5</v>
      </c>
      <c r="H24" s="7">
        <v>5</v>
      </c>
      <c r="J24" s="7"/>
      <c r="K24" s="7" t="s">
        <v>4</v>
      </c>
      <c r="L24" s="7"/>
      <c r="M24" s="7"/>
    </row>
    <row r="25" spans="2:13" x14ac:dyDescent="0.55000000000000004">
      <c r="B25" s="7">
        <v>23</v>
      </c>
      <c r="C25" s="12" t="s">
        <v>49</v>
      </c>
      <c r="D25" s="7" t="s">
        <v>51</v>
      </c>
      <c r="E25" s="7">
        <v>5</v>
      </c>
      <c r="F25" s="7">
        <v>5</v>
      </c>
      <c r="G25" s="7">
        <v>5</v>
      </c>
      <c r="H25" s="7">
        <v>5</v>
      </c>
      <c r="J25" s="7"/>
      <c r="K25" s="7" t="s">
        <v>4</v>
      </c>
      <c r="L25" s="7"/>
      <c r="M25" s="7"/>
    </row>
    <row r="26" spans="2:13" x14ac:dyDescent="0.55000000000000004">
      <c r="B26" s="7">
        <v>24</v>
      </c>
      <c r="C26" s="12" t="s">
        <v>49</v>
      </c>
      <c r="D26" s="7" t="s">
        <v>52</v>
      </c>
      <c r="E26" s="7">
        <v>5</v>
      </c>
      <c r="F26" s="7">
        <v>5</v>
      </c>
      <c r="G26" s="7">
        <v>5</v>
      </c>
      <c r="H26" s="7">
        <v>5</v>
      </c>
      <c r="J26" s="7"/>
      <c r="K26" s="7" t="s">
        <v>4</v>
      </c>
      <c r="L26" s="7"/>
      <c r="M26" s="7"/>
    </row>
    <row r="27" spans="2:13" x14ac:dyDescent="0.55000000000000004">
      <c r="B27" s="7">
        <v>25</v>
      </c>
      <c r="C27" s="12" t="s">
        <v>49</v>
      </c>
      <c r="D27" s="7" t="s">
        <v>53</v>
      </c>
      <c r="E27" s="7">
        <v>5</v>
      </c>
      <c r="F27" s="7">
        <v>5</v>
      </c>
      <c r="G27" s="7">
        <v>5</v>
      </c>
      <c r="H27" s="7">
        <v>5</v>
      </c>
      <c r="J27" s="7"/>
      <c r="K27" s="7" t="s">
        <v>4</v>
      </c>
      <c r="L27" s="7"/>
      <c r="M27" s="7"/>
    </row>
    <row r="28" spans="2:13" x14ac:dyDescent="0.55000000000000004">
      <c r="B28" s="7">
        <v>26</v>
      </c>
      <c r="C28" s="12" t="s">
        <v>14</v>
      </c>
      <c r="D28" s="7" t="s">
        <v>86</v>
      </c>
      <c r="E28" s="7">
        <v>4</v>
      </c>
      <c r="F28" s="7"/>
      <c r="G28" s="7"/>
      <c r="H28" s="7"/>
      <c r="J28" s="7"/>
      <c r="K28" s="7" t="s">
        <v>4</v>
      </c>
      <c r="L28" s="7"/>
      <c r="M28" s="7"/>
    </row>
    <row r="29" spans="2:13" x14ac:dyDescent="0.55000000000000004">
      <c r="B29" s="7">
        <v>27</v>
      </c>
      <c r="C29" s="12" t="s">
        <v>54</v>
      </c>
      <c r="D29" s="7" t="s">
        <v>55</v>
      </c>
      <c r="E29" s="7">
        <v>5</v>
      </c>
      <c r="F29" s="7">
        <v>5</v>
      </c>
      <c r="G29" s="7">
        <v>5</v>
      </c>
      <c r="H29" s="7">
        <v>5</v>
      </c>
      <c r="J29" s="7"/>
      <c r="K29" s="7" t="s">
        <v>4</v>
      </c>
      <c r="L29" s="7"/>
      <c r="M29" s="7"/>
    </row>
    <row r="30" spans="2:13" x14ac:dyDescent="0.55000000000000004">
      <c r="B30" s="7">
        <v>28</v>
      </c>
      <c r="C30" s="12" t="s">
        <v>54</v>
      </c>
      <c r="D30" s="7" t="s">
        <v>56</v>
      </c>
      <c r="E30" s="7">
        <v>5</v>
      </c>
      <c r="F30" s="7">
        <v>5</v>
      </c>
      <c r="G30" s="7">
        <v>5</v>
      </c>
      <c r="H30" s="7">
        <v>5</v>
      </c>
      <c r="J30" s="7"/>
      <c r="K30" s="7" t="s">
        <v>4</v>
      </c>
      <c r="L30" s="7"/>
      <c r="M30" s="7"/>
    </row>
    <row r="31" spans="2:13" x14ac:dyDescent="0.55000000000000004">
      <c r="B31" s="7">
        <v>29</v>
      </c>
      <c r="C31" s="12" t="s">
        <v>54</v>
      </c>
      <c r="D31" s="7" t="s">
        <v>57</v>
      </c>
      <c r="E31" s="7">
        <v>5</v>
      </c>
      <c r="F31" s="7">
        <v>5</v>
      </c>
      <c r="G31" s="7">
        <v>5</v>
      </c>
      <c r="H31" s="7">
        <v>5</v>
      </c>
      <c r="J31" s="7"/>
      <c r="K31" s="7" t="s">
        <v>4</v>
      </c>
      <c r="L31" s="7"/>
      <c r="M31" s="7"/>
    </row>
    <row r="32" spans="2:13" x14ac:dyDescent="0.55000000000000004">
      <c r="B32" s="7">
        <v>30</v>
      </c>
      <c r="C32" s="12" t="s">
        <v>58</v>
      </c>
      <c r="D32" s="7" t="s">
        <v>59</v>
      </c>
      <c r="E32" s="7">
        <v>5</v>
      </c>
      <c r="F32" s="7">
        <v>4</v>
      </c>
      <c r="G32" s="7">
        <v>4</v>
      </c>
      <c r="H32" s="7">
        <v>4</v>
      </c>
      <c r="I32" t="s">
        <v>60</v>
      </c>
      <c r="J32" s="7" t="s">
        <v>60</v>
      </c>
      <c r="K32" s="7" t="s">
        <v>3</v>
      </c>
      <c r="L32" s="7"/>
      <c r="M32" s="7"/>
    </row>
    <row r="33" spans="2:13" x14ac:dyDescent="0.55000000000000004">
      <c r="B33" s="7">
        <v>31</v>
      </c>
      <c r="C33" s="12" t="s">
        <v>58</v>
      </c>
      <c r="D33" s="7" t="s">
        <v>61</v>
      </c>
      <c r="E33" s="7">
        <v>5</v>
      </c>
      <c r="F33" s="7">
        <v>3</v>
      </c>
      <c r="G33" s="7">
        <v>4</v>
      </c>
      <c r="H33" s="7">
        <v>3</v>
      </c>
      <c r="I33" t="s">
        <v>60</v>
      </c>
      <c r="J33" s="7" t="s">
        <v>60</v>
      </c>
      <c r="K33" s="7" t="s">
        <v>3</v>
      </c>
      <c r="L33" s="7"/>
      <c r="M33" s="7"/>
    </row>
    <row r="34" spans="2:13" x14ac:dyDescent="0.55000000000000004">
      <c r="B34" s="7">
        <v>32</v>
      </c>
      <c r="C34" s="12" t="s">
        <v>58</v>
      </c>
      <c r="D34" s="7" t="s">
        <v>62</v>
      </c>
      <c r="E34" s="7">
        <v>5</v>
      </c>
      <c r="F34" s="7">
        <v>5</v>
      </c>
      <c r="G34" s="7">
        <v>5</v>
      </c>
      <c r="H34" s="7">
        <v>5</v>
      </c>
      <c r="I34" t="s">
        <v>60</v>
      </c>
      <c r="J34" s="7" t="s">
        <v>60</v>
      </c>
      <c r="K34" s="7" t="s">
        <v>3</v>
      </c>
      <c r="L34" s="7"/>
      <c r="M34" s="7"/>
    </row>
    <row r="35" spans="2:13" x14ac:dyDescent="0.55000000000000004">
      <c r="B35" s="7">
        <v>33</v>
      </c>
      <c r="C35" s="12" t="s">
        <v>58</v>
      </c>
      <c r="D35" s="8" t="s">
        <v>63</v>
      </c>
      <c r="E35" s="7">
        <v>5</v>
      </c>
      <c r="F35" s="7">
        <v>4</v>
      </c>
      <c r="G35" s="7">
        <v>4</v>
      </c>
      <c r="H35" s="7">
        <v>4</v>
      </c>
      <c r="I35" t="s">
        <v>60</v>
      </c>
      <c r="J35" s="7" t="s">
        <v>60</v>
      </c>
      <c r="K35" s="7" t="s">
        <v>3</v>
      </c>
      <c r="L35" s="7"/>
      <c r="M35" s="7"/>
    </row>
    <row r="36" spans="2:13" x14ac:dyDescent="0.55000000000000004">
      <c r="B36" s="7">
        <v>34</v>
      </c>
      <c r="C36" s="12" t="s">
        <v>58</v>
      </c>
      <c r="D36" s="7" t="s">
        <v>87</v>
      </c>
      <c r="E36" s="7">
        <v>4</v>
      </c>
      <c r="F36" s="7">
        <v>3</v>
      </c>
      <c r="G36" s="7">
        <v>4</v>
      </c>
      <c r="H36" s="7">
        <v>3</v>
      </c>
      <c r="I36" s="7" t="s">
        <v>3</v>
      </c>
      <c r="J36" s="7" t="s">
        <v>60</v>
      </c>
      <c r="K36" s="7" t="s">
        <v>3</v>
      </c>
      <c r="L36" s="7"/>
      <c r="M36" s="7"/>
    </row>
    <row r="37" spans="2:13" x14ac:dyDescent="0.55000000000000004">
      <c r="B37" s="7">
        <v>35</v>
      </c>
      <c r="C37" s="12" t="s">
        <v>58</v>
      </c>
      <c r="D37" s="7" t="s">
        <v>88</v>
      </c>
      <c r="E37" s="7">
        <v>4</v>
      </c>
      <c r="F37" s="7">
        <v>3</v>
      </c>
      <c r="G37" s="7">
        <v>4</v>
      </c>
      <c r="H37" s="7">
        <v>3</v>
      </c>
      <c r="I37" s="7" t="s">
        <v>3</v>
      </c>
      <c r="J37" s="7" t="s">
        <v>60</v>
      </c>
      <c r="K37" s="7" t="s">
        <v>3</v>
      </c>
      <c r="L37" s="7"/>
      <c r="M37" s="7"/>
    </row>
    <row r="38" spans="2:13" x14ac:dyDescent="0.55000000000000004">
      <c r="B38" s="7">
        <v>36</v>
      </c>
      <c r="C38" s="12" t="s">
        <v>58</v>
      </c>
      <c r="D38" s="7" t="s">
        <v>89</v>
      </c>
      <c r="E38" s="7">
        <v>4</v>
      </c>
      <c r="F38" s="7">
        <v>3</v>
      </c>
      <c r="G38" s="7">
        <v>4</v>
      </c>
      <c r="H38" s="7">
        <v>3</v>
      </c>
      <c r="I38" s="7" t="s">
        <v>3</v>
      </c>
      <c r="J38" s="7" t="s">
        <v>60</v>
      </c>
      <c r="K38" s="7" t="s">
        <v>3</v>
      </c>
      <c r="L38" s="7"/>
      <c r="M38" s="7"/>
    </row>
    <row r="39" spans="2:13" x14ac:dyDescent="0.55000000000000004">
      <c r="B39" s="7">
        <v>37</v>
      </c>
      <c r="C39" s="12" t="s">
        <v>64</v>
      </c>
      <c r="D39" s="7" t="s">
        <v>65</v>
      </c>
      <c r="E39" s="7">
        <v>5</v>
      </c>
      <c r="F39" s="7">
        <v>5</v>
      </c>
      <c r="G39" s="7">
        <v>5</v>
      </c>
      <c r="H39" s="7">
        <v>5</v>
      </c>
      <c r="J39" s="7"/>
      <c r="K39" s="7" t="s">
        <v>4</v>
      </c>
      <c r="L39" s="7"/>
      <c r="M39" s="7"/>
    </row>
    <row r="40" spans="2:13" x14ac:dyDescent="0.55000000000000004">
      <c r="B40" s="7">
        <v>38</v>
      </c>
      <c r="C40" s="12" t="s">
        <v>66</v>
      </c>
      <c r="D40" s="7" t="s">
        <v>67</v>
      </c>
      <c r="E40" s="7">
        <v>5</v>
      </c>
      <c r="F40" s="7">
        <v>5</v>
      </c>
      <c r="G40" s="7">
        <v>5</v>
      </c>
      <c r="H40" s="7">
        <v>5</v>
      </c>
      <c r="J40" s="7"/>
      <c r="K40" s="7" t="s">
        <v>3</v>
      </c>
      <c r="L40" s="7"/>
      <c r="M40" s="7"/>
    </row>
    <row r="41" spans="2:13" x14ac:dyDescent="0.55000000000000004">
      <c r="B41" s="7">
        <v>39</v>
      </c>
      <c r="C41" s="12" t="s">
        <v>66</v>
      </c>
      <c r="D41" s="7" t="s">
        <v>68</v>
      </c>
      <c r="E41" s="7">
        <v>5</v>
      </c>
      <c r="F41" s="7">
        <v>5</v>
      </c>
      <c r="G41" s="7">
        <v>5</v>
      </c>
      <c r="H41" s="7">
        <v>5</v>
      </c>
      <c r="J41" s="7"/>
      <c r="K41" s="7" t="s">
        <v>3</v>
      </c>
      <c r="L41" s="7"/>
      <c r="M41" s="7"/>
    </row>
    <row r="42" spans="2:13" x14ac:dyDescent="0.55000000000000004">
      <c r="B42" s="7">
        <v>40</v>
      </c>
      <c r="C42" s="12" t="s">
        <v>66</v>
      </c>
      <c r="D42" s="7" t="s">
        <v>69</v>
      </c>
      <c r="E42" s="7">
        <v>5</v>
      </c>
      <c r="F42" s="7">
        <v>5</v>
      </c>
      <c r="G42" s="7">
        <v>5</v>
      </c>
      <c r="H42" s="7">
        <v>5</v>
      </c>
      <c r="J42" s="7"/>
      <c r="K42" s="7" t="s">
        <v>3</v>
      </c>
      <c r="L42" s="7"/>
      <c r="M42" s="7"/>
    </row>
    <row r="43" spans="2:13" x14ac:dyDescent="0.55000000000000004">
      <c r="B43" s="7">
        <v>41</v>
      </c>
      <c r="C43" s="12" t="s">
        <v>66</v>
      </c>
      <c r="D43" s="7" t="s">
        <v>70</v>
      </c>
      <c r="E43" s="7">
        <v>5</v>
      </c>
      <c r="F43" s="7">
        <v>5</v>
      </c>
      <c r="G43" s="7">
        <v>5</v>
      </c>
      <c r="H43" s="7">
        <v>5</v>
      </c>
      <c r="J43" s="7"/>
      <c r="K43" s="7" t="s">
        <v>3</v>
      </c>
      <c r="L43" s="7"/>
      <c r="M43" s="7"/>
    </row>
    <row r="44" spans="2:13" x14ac:dyDescent="0.55000000000000004">
      <c r="B44" s="7">
        <v>42</v>
      </c>
      <c r="C44" s="12" t="s">
        <v>66</v>
      </c>
      <c r="D44" s="7" t="s">
        <v>71</v>
      </c>
      <c r="E44" s="7">
        <v>5</v>
      </c>
      <c r="F44" s="7">
        <v>4</v>
      </c>
      <c r="G44" s="7">
        <v>4</v>
      </c>
      <c r="H44" s="7">
        <v>3</v>
      </c>
      <c r="J44" s="7"/>
      <c r="K44" s="7" t="s">
        <v>3</v>
      </c>
      <c r="L44" s="7"/>
      <c r="M44" s="7"/>
    </row>
    <row r="45" spans="2:13" x14ac:dyDescent="0.55000000000000004">
      <c r="B45" s="7">
        <v>43</v>
      </c>
      <c r="C45" s="12" t="s">
        <v>66</v>
      </c>
      <c r="D45" s="7" t="s">
        <v>72</v>
      </c>
      <c r="E45" s="7">
        <v>4</v>
      </c>
      <c r="F45" s="7">
        <v>4</v>
      </c>
      <c r="G45" s="7">
        <v>4</v>
      </c>
      <c r="H45" s="7">
        <v>4</v>
      </c>
      <c r="J45" s="7"/>
      <c r="K45" s="7" t="s">
        <v>3</v>
      </c>
      <c r="L45" s="7"/>
      <c r="M45" s="7"/>
    </row>
    <row r="46" spans="2:13" x14ac:dyDescent="0.55000000000000004">
      <c r="B46" s="7">
        <v>44</v>
      </c>
      <c r="C46" s="12" t="s">
        <v>66</v>
      </c>
      <c r="D46" s="7" t="s">
        <v>73</v>
      </c>
      <c r="E46" s="7">
        <v>5</v>
      </c>
      <c r="F46" s="7">
        <v>4</v>
      </c>
      <c r="G46" s="7">
        <v>4</v>
      </c>
      <c r="H46" s="7">
        <v>4</v>
      </c>
      <c r="J46" s="7"/>
      <c r="K46" s="7" t="s">
        <v>3</v>
      </c>
      <c r="L46" s="7"/>
      <c r="M46" s="7"/>
    </row>
    <row r="47" spans="2:13" x14ac:dyDescent="0.55000000000000004">
      <c r="B47" s="7">
        <v>45</v>
      </c>
      <c r="C47" s="12" t="s">
        <v>66</v>
      </c>
      <c r="D47" s="7" t="s">
        <v>74</v>
      </c>
      <c r="E47" s="7">
        <v>5</v>
      </c>
      <c r="F47" s="7">
        <v>5</v>
      </c>
      <c r="G47" s="7">
        <v>4</v>
      </c>
      <c r="H47" s="7">
        <v>5</v>
      </c>
      <c r="J47" s="7"/>
      <c r="K47" s="7" t="s">
        <v>3</v>
      </c>
      <c r="L47" s="7"/>
      <c r="M47" s="7"/>
    </row>
    <row r="48" spans="2:13" x14ac:dyDescent="0.55000000000000004">
      <c r="B48" s="7">
        <v>46</v>
      </c>
      <c r="C48" s="12" t="s">
        <v>66</v>
      </c>
      <c r="D48" s="7" t="s">
        <v>75</v>
      </c>
      <c r="E48" s="7">
        <v>4</v>
      </c>
      <c r="F48" s="7">
        <v>3</v>
      </c>
      <c r="G48" s="7">
        <v>4</v>
      </c>
      <c r="H48" s="7">
        <v>3</v>
      </c>
      <c r="J48" s="7"/>
      <c r="K48" s="7" t="s">
        <v>3</v>
      </c>
      <c r="L48" s="7"/>
      <c r="M48" s="7"/>
    </row>
    <row r="49" spans="2:13" x14ac:dyDescent="0.55000000000000004">
      <c r="B49" s="7">
        <v>47</v>
      </c>
      <c r="C49" s="7" t="s">
        <v>66</v>
      </c>
      <c r="D49" s="7" t="s">
        <v>76</v>
      </c>
      <c r="E49" s="7">
        <v>5</v>
      </c>
      <c r="F49" s="7">
        <v>5</v>
      </c>
      <c r="G49" s="7">
        <v>5</v>
      </c>
      <c r="H49" s="7">
        <v>5</v>
      </c>
      <c r="J49" s="7"/>
      <c r="K49" s="7" t="s">
        <v>3</v>
      </c>
      <c r="L49" s="7"/>
      <c r="M49" s="7"/>
    </row>
    <row r="50" spans="2:13" x14ac:dyDescent="0.55000000000000004">
      <c r="B50" s="7">
        <v>48</v>
      </c>
      <c r="C50" s="7" t="s">
        <v>66</v>
      </c>
      <c r="D50" s="7" t="s">
        <v>77</v>
      </c>
      <c r="E50" s="7">
        <v>4</v>
      </c>
      <c r="F50" s="7">
        <v>3</v>
      </c>
      <c r="G50" s="7">
        <v>3</v>
      </c>
      <c r="H50" s="7">
        <v>3</v>
      </c>
      <c r="J50" s="7"/>
      <c r="K50" s="7" t="s">
        <v>3</v>
      </c>
      <c r="L50" s="7"/>
      <c r="M50" s="7"/>
    </row>
    <row r="51" spans="2:13" x14ac:dyDescent="0.55000000000000004">
      <c r="B51" s="7">
        <v>49</v>
      </c>
      <c r="C51" s="7" t="s">
        <v>66</v>
      </c>
      <c r="D51" s="7" t="s">
        <v>78</v>
      </c>
      <c r="E51" s="7">
        <v>4</v>
      </c>
      <c r="F51" s="7">
        <v>3</v>
      </c>
      <c r="G51" s="7">
        <v>4</v>
      </c>
      <c r="H51" s="7">
        <v>3</v>
      </c>
      <c r="J51" s="7"/>
      <c r="K51" s="7" t="s">
        <v>3</v>
      </c>
      <c r="L51" s="7"/>
      <c r="M51" s="7"/>
    </row>
    <row r="52" spans="2:13" x14ac:dyDescent="0.55000000000000004">
      <c r="B52" s="7">
        <v>50</v>
      </c>
      <c r="C52" s="7" t="s">
        <v>66</v>
      </c>
      <c r="D52" s="7" t="s">
        <v>79</v>
      </c>
      <c r="E52" s="7">
        <v>4</v>
      </c>
      <c r="F52" s="7">
        <v>4</v>
      </c>
      <c r="G52" s="7">
        <v>4</v>
      </c>
      <c r="H52" s="7">
        <v>3</v>
      </c>
      <c r="J52" s="7"/>
      <c r="K52" s="7" t="s">
        <v>3</v>
      </c>
      <c r="L52" s="7"/>
      <c r="M52" s="7"/>
    </row>
    <row r="53" spans="2:13" x14ac:dyDescent="0.55000000000000004">
      <c r="B53" s="7">
        <v>51</v>
      </c>
      <c r="C53" s="7" t="s">
        <v>66</v>
      </c>
      <c r="D53" s="7" t="s">
        <v>80</v>
      </c>
      <c r="E53" s="7">
        <v>4</v>
      </c>
      <c r="F53" s="7">
        <v>4</v>
      </c>
      <c r="G53" s="7">
        <v>4</v>
      </c>
      <c r="H53" s="7">
        <v>4</v>
      </c>
      <c r="J53" s="7"/>
      <c r="K53" s="7" t="s">
        <v>3</v>
      </c>
      <c r="L53" s="7"/>
      <c r="M53" s="7"/>
    </row>
    <row r="54" spans="2:13" x14ac:dyDescent="0.55000000000000004">
      <c r="B54" s="7">
        <v>52</v>
      </c>
      <c r="C54" s="7" t="s">
        <v>66</v>
      </c>
      <c r="D54" s="7" t="s">
        <v>81</v>
      </c>
      <c r="E54" s="7">
        <v>4</v>
      </c>
      <c r="F54" s="7">
        <v>3</v>
      </c>
      <c r="G54" s="7">
        <v>3</v>
      </c>
      <c r="H54" s="7">
        <v>3</v>
      </c>
      <c r="J54" s="7"/>
      <c r="K54" s="7" t="s">
        <v>3</v>
      </c>
      <c r="L54" s="7"/>
      <c r="M54" s="7"/>
    </row>
    <row r="55" spans="2:13" x14ac:dyDescent="0.55000000000000004">
      <c r="B55" s="7">
        <v>53</v>
      </c>
      <c r="C55" s="7" t="s">
        <v>66</v>
      </c>
      <c r="D55" s="7" t="s">
        <v>82</v>
      </c>
      <c r="E55" s="7">
        <v>4</v>
      </c>
      <c r="F55" s="7">
        <v>3</v>
      </c>
      <c r="G55" s="7">
        <v>4</v>
      </c>
      <c r="H55" s="7">
        <v>3</v>
      </c>
      <c r="J55" s="7"/>
      <c r="K55" s="7" t="s">
        <v>3</v>
      </c>
      <c r="L55" s="7"/>
      <c r="M55" s="7"/>
    </row>
    <row r="56" spans="2:13" x14ac:dyDescent="0.55000000000000004">
      <c r="B56" s="7">
        <v>54</v>
      </c>
      <c r="C56" s="7" t="s">
        <v>3</v>
      </c>
      <c r="D56" s="7" t="s">
        <v>91</v>
      </c>
      <c r="E56" s="7">
        <v>5</v>
      </c>
      <c r="F56" s="7">
        <v>4</v>
      </c>
      <c r="G56" s="7">
        <v>4</v>
      </c>
      <c r="H56" s="7">
        <v>4</v>
      </c>
      <c r="J56" s="7"/>
      <c r="K56" s="7" t="s">
        <v>3</v>
      </c>
      <c r="L56" s="7"/>
      <c r="M56" s="7"/>
    </row>
    <row r="57" spans="2:13" x14ac:dyDescent="0.55000000000000004">
      <c r="B57" s="7">
        <v>55</v>
      </c>
      <c r="C57" s="10" t="s">
        <v>83</v>
      </c>
      <c r="D57" s="7" t="s">
        <v>84</v>
      </c>
      <c r="E57" s="7">
        <v>5</v>
      </c>
      <c r="F57" s="7">
        <v>5</v>
      </c>
      <c r="G57" s="7">
        <v>5</v>
      </c>
      <c r="H57" s="7">
        <v>5</v>
      </c>
      <c r="J57" s="7"/>
      <c r="K57" s="7" t="s">
        <v>4</v>
      </c>
      <c r="L57" s="7"/>
      <c r="M57" s="7"/>
    </row>
    <row r="58" spans="2:13" x14ac:dyDescent="0.55000000000000004">
      <c r="B58" s="7">
        <v>56</v>
      </c>
      <c r="C58" s="10" t="s">
        <v>83</v>
      </c>
      <c r="D58" s="7" t="s">
        <v>85</v>
      </c>
      <c r="E58" s="7">
        <v>5</v>
      </c>
      <c r="F58" s="7">
        <v>5</v>
      </c>
      <c r="G58" s="7">
        <v>4</v>
      </c>
      <c r="H58" s="7">
        <v>4</v>
      </c>
      <c r="J58" s="7"/>
      <c r="K58" s="7" t="s">
        <v>4</v>
      </c>
      <c r="L58" s="7"/>
      <c r="M58" s="7"/>
    </row>
    <row r="59" spans="2:13" x14ac:dyDescent="0.55000000000000004">
      <c r="B59" s="7">
        <v>57</v>
      </c>
      <c r="C59" s="10" t="s">
        <v>83</v>
      </c>
      <c r="D59" s="7" t="s">
        <v>90</v>
      </c>
      <c r="E59" s="7">
        <v>5</v>
      </c>
      <c r="F59" s="7">
        <v>5</v>
      </c>
      <c r="G59" s="7">
        <v>4</v>
      </c>
      <c r="H59" s="7">
        <v>3</v>
      </c>
      <c r="J59" s="7"/>
      <c r="K59" s="7" t="s">
        <v>4</v>
      </c>
      <c r="L59" s="7"/>
      <c r="M59" s="7"/>
    </row>
    <row r="60" spans="2:13" x14ac:dyDescent="0.55000000000000004">
      <c r="B60" s="7">
        <v>58</v>
      </c>
      <c r="C60" s="7" t="s">
        <v>12</v>
      </c>
      <c r="D60" s="7"/>
      <c r="E60" s="7">
        <v>5</v>
      </c>
      <c r="F60" s="7"/>
      <c r="G60" s="7"/>
      <c r="H60" s="7"/>
      <c r="I60" t="s">
        <v>60</v>
      </c>
      <c r="J60" s="7" t="s">
        <v>60</v>
      </c>
      <c r="K60" s="7" t="s">
        <v>92</v>
      </c>
      <c r="L60" s="7"/>
      <c r="M60" s="7"/>
    </row>
    <row r="61" spans="2:13" x14ac:dyDescent="0.55000000000000004">
      <c r="B61" s="7">
        <v>59</v>
      </c>
      <c r="C61" s="7" t="s">
        <v>12</v>
      </c>
      <c r="D61" s="7"/>
      <c r="E61" s="7">
        <v>5</v>
      </c>
      <c r="F61" s="7"/>
      <c r="G61" s="7"/>
      <c r="H61" s="7"/>
      <c r="I61" t="s">
        <v>60</v>
      </c>
      <c r="J61" s="7" t="s">
        <v>60</v>
      </c>
      <c r="K61" s="7" t="s">
        <v>92</v>
      </c>
      <c r="L61" s="7"/>
      <c r="M61" s="7"/>
    </row>
    <row r="62" spans="2:13" x14ac:dyDescent="0.55000000000000004">
      <c r="B62" s="7">
        <v>60</v>
      </c>
      <c r="C62" s="7" t="s">
        <v>12</v>
      </c>
      <c r="D62" s="7"/>
      <c r="E62" s="7">
        <v>5</v>
      </c>
      <c r="F62" s="7"/>
      <c r="G62" s="7"/>
      <c r="H62" s="7"/>
      <c r="I62" t="s">
        <v>60</v>
      </c>
      <c r="J62" s="7" t="s">
        <v>60</v>
      </c>
      <c r="K62" s="7" t="s">
        <v>92</v>
      </c>
      <c r="L62" s="7"/>
      <c r="M62" s="7"/>
    </row>
    <row r="63" spans="2:13" x14ac:dyDescent="0.55000000000000004">
      <c r="B63" s="7">
        <v>61</v>
      </c>
      <c r="C63" s="7" t="s">
        <v>12</v>
      </c>
      <c r="D63" s="7"/>
      <c r="E63" s="7">
        <v>5</v>
      </c>
      <c r="F63" s="7"/>
      <c r="G63" s="7"/>
      <c r="H63" s="7"/>
      <c r="I63" t="s">
        <v>60</v>
      </c>
      <c r="J63" s="7" t="s">
        <v>60</v>
      </c>
      <c r="K63" s="7" t="s">
        <v>92</v>
      </c>
      <c r="L63" s="7"/>
      <c r="M63" s="7"/>
    </row>
    <row r="64" spans="2:13" x14ac:dyDescent="0.55000000000000004">
      <c r="B64" s="7">
        <v>62</v>
      </c>
      <c r="C64" s="7" t="s">
        <v>12</v>
      </c>
      <c r="D64" s="7"/>
      <c r="E64" s="7">
        <v>5</v>
      </c>
      <c r="F64" s="7"/>
      <c r="G64" s="7"/>
      <c r="H64" s="7"/>
      <c r="I64" t="s">
        <v>60</v>
      </c>
      <c r="J64" s="7" t="s">
        <v>60</v>
      </c>
      <c r="K64" s="7" t="s">
        <v>92</v>
      </c>
      <c r="L64" s="7"/>
      <c r="M64" s="7"/>
    </row>
    <row r="65" spans="2:13" x14ac:dyDescent="0.55000000000000004">
      <c r="B65" s="7">
        <v>63</v>
      </c>
      <c r="C65" s="7" t="s">
        <v>12</v>
      </c>
      <c r="D65" s="7"/>
      <c r="E65" s="7">
        <v>5</v>
      </c>
      <c r="F65" s="7"/>
      <c r="G65" s="7"/>
      <c r="H65" s="7"/>
      <c r="I65" t="s">
        <v>60</v>
      </c>
      <c r="J65" s="7" t="s">
        <v>60</v>
      </c>
      <c r="K65" s="7" t="s">
        <v>92</v>
      </c>
      <c r="L65" s="7"/>
      <c r="M65" s="7"/>
    </row>
    <row r="66" spans="2:13" x14ac:dyDescent="0.55000000000000004">
      <c r="B66" s="7">
        <v>64</v>
      </c>
      <c r="C66" s="7" t="s">
        <v>12</v>
      </c>
      <c r="D66" s="7"/>
      <c r="E66" s="7">
        <v>5</v>
      </c>
      <c r="F66" s="7"/>
      <c r="G66" s="7"/>
      <c r="H66" s="7"/>
      <c r="I66" t="s">
        <v>60</v>
      </c>
      <c r="J66" s="7" t="s">
        <v>60</v>
      </c>
      <c r="K66" s="7" t="s">
        <v>92</v>
      </c>
      <c r="L66" s="7"/>
      <c r="M66" s="7"/>
    </row>
    <row r="67" spans="2:13" x14ac:dyDescent="0.55000000000000004">
      <c r="B67" s="7">
        <v>65</v>
      </c>
      <c r="C67" s="7" t="s">
        <v>12</v>
      </c>
      <c r="D67" s="7"/>
      <c r="E67" s="7">
        <v>4</v>
      </c>
      <c r="F67" s="7"/>
      <c r="G67" s="7"/>
      <c r="H67" s="7"/>
      <c r="I67" t="s">
        <v>60</v>
      </c>
      <c r="J67" s="7" t="s">
        <v>60</v>
      </c>
      <c r="K67" s="7" t="s">
        <v>92</v>
      </c>
      <c r="L67" s="7"/>
      <c r="M67" s="7"/>
    </row>
    <row r="68" spans="2:13" x14ac:dyDescent="0.55000000000000004">
      <c r="B68" s="7"/>
      <c r="C68" s="7"/>
      <c r="D68" s="7"/>
      <c r="E68" s="7"/>
      <c r="F68" s="7"/>
      <c r="G68" s="7"/>
      <c r="H68" s="7"/>
      <c r="J68" s="7"/>
      <c r="K68" s="7"/>
      <c r="L68" s="7"/>
      <c r="M68" s="7"/>
    </row>
    <row r="69" spans="2:13" x14ac:dyDescent="0.55000000000000004">
      <c r="B69" s="9"/>
      <c r="C69" s="9"/>
      <c r="D69" s="9"/>
      <c r="E69" s="9"/>
      <c r="F69" s="9"/>
      <c r="G69" s="9"/>
      <c r="H69" s="9"/>
      <c r="I69" s="3"/>
      <c r="J69" s="9"/>
      <c r="K69" s="7"/>
      <c r="L69" s="7"/>
      <c r="M69" s="7"/>
    </row>
    <row r="70" spans="2:13" x14ac:dyDescent="0.55000000000000004">
      <c r="B70" s="1"/>
      <c r="C70" s="1"/>
      <c r="D70" s="1"/>
      <c r="E70" s="1" t="str">
        <f>"火晶は"&amp;COUNTIF(テーブル3252[火晶],1)+COUNTIF(テーブル3252[火晶],2)+COUNTIF(テーブル3252[火晶],3)+COUNTIF(テーブル3252[火晶],4)+COUNTIF(テーブル3252[火晶],5)&amp;"人"</f>
        <v>火晶は65人</v>
      </c>
      <c r="F70" s="1" t="str">
        <f>"盾火晶5は"&amp;COUNTIF(テーブル3252[盾],5)&amp;"人"</f>
        <v>盾火晶5は31人</v>
      </c>
      <c r="G70" s="1"/>
      <c r="H70" s="1"/>
      <c r="I70" s="1"/>
      <c r="J70" s="1"/>
      <c r="K70" s="1"/>
      <c r="L70" s="6"/>
      <c r="M70" s="6"/>
    </row>
    <row r="72" spans="2:13" x14ac:dyDescent="0.55000000000000004">
      <c r="C72" s="5"/>
      <c r="D72" s="5" t="s">
        <v>15</v>
      </c>
      <c r="E72" s="4" t="s">
        <v>16</v>
      </c>
      <c r="F72" s="11" t="s">
        <v>17</v>
      </c>
      <c r="G72" s="11"/>
    </row>
    <row r="73" spans="2:13" x14ac:dyDescent="0.55000000000000004">
      <c r="C73" s="4" t="s">
        <v>3</v>
      </c>
      <c r="D73" s="4">
        <v>41</v>
      </c>
      <c r="E73" s="4">
        <f>COUNTIF(テーブル3252[同盟],"MMC")</f>
        <v>17</v>
      </c>
      <c r="F73" s="4">
        <f>COUNTIF(テーブル3252[移籍先],"MMC")-COUNTIF(テーブル3252[同盟],"MMC")</f>
        <v>15</v>
      </c>
      <c r="G73" s="4"/>
      <c r="H73">
        <f>SUM(E73:F73)</f>
        <v>32</v>
      </c>
    </row>
    <row r="74" spans="2:13" x14ac:dyDescent="0.55000000000000004">
      <c r="C74" s="4" t="s">
        <v>4</v>
      </c>
      <c r="D74" s="4">
        <v>41</v>
      </c>
      <c r="E74" s="4">
        <f>COUNTIF(テーブル3252[同盟],"rlx")</f>
        <v>12</v>
      </c>
      <c r="F74" s="4">
        <f>COUNTIF(テーブル3252[移籍先],"rlx")-COUNTIF(テーブル3252[同盟],"rlx")</f>
        <v>21</v>
      </c>
      <c r="G74" s="4"/>
      <c r="H74">
        <f>SUM(E74:F74)</f>
        <v>33</v>
      </c>
    </row>
    <row r="75" spans="2:13" x14ac:dyDescent="0.55000000000000004">
      <c r="C75" s="4"/>
      <c r="D75" s="4"/>
      <c r="E75" s="4"/>
      <c r="F75" s="4"/>
      <c r="G75" s="4"/>
      <c r="H75">
        <f>SUM(H73:H74)</f>
        <v>65</v>
      </c>
    </row>
    <row r="76" spans="2:13" x14ac:dyDescent="0.55000000000000004">
      <c r="C76" s="4"/>
      <c r="D76" s="4"/>
      <c r="E76" s="4"/>
      <c r="F76" s="4"/>
      <c r="G76" s="4"/>
    </row>
    <row r="77" spans="2:13" x14ac:dyDescent="0.55000000000000004">
      <c r="C77" s="4"/>
      <c r="D77" s="4"/>
      <c r="E77" s="4"/>
      <c r="F77" s="4"/>
      <c r="G77" s="4"/>
    </row>
  </sheetData>
  <mergeCells count="1">
    <mergeCell ref="F72:G72"/>
  </mergeCells>
  <phoneticPr fontId="1"/>
  <conditionalFormatting sqref="E3:H69">
    <cfRule type="cellIs" dxfId="4" priority="11" operator="greaterThanOrEqual">
      <formula>5</formula>
    </cfRule>
  </conditionalFormatting>
  <conditionalFormatting sqref="F36:H38">
    <cfRule type="cellIs" dxfId="3" priority="2" operator="greaterThanOrEqual">
      <formula>5</formula>
    </cfRule>
  </conditionalFormatting>
  <conditionalFormatting sqref="F59:H59">
    <cfRule type="cellIs" dxfId="2" priority="1" operator="greaterThanOrEqual">
      <formula>5</formula>
    </cfRule>
  </conditionalFormatting>
  <conditionalFormatting sqref="F68:H69">
    <cfRule type="cellIs" dxfId="1" priority="8" operator="greaterThanOrEqual">
      <formula>5</formula>
    </cfRule>
  </conditionalFormatting>
  <conditionalFormatting sqref="I29:J32">
    <cfRule type="cellIs" dxfId="0" priority="14" operator="lessThanOrEqual">
      <formula>4</formula>
    </cfRule>
  </conditionalFormatting>
  <pageMargins left="0.7" right="0.7" top="0.75" bottom="0.75" header="0.3" footer="0.3"/>
  <pageSetup paperSize="9" scale="60" fitToWidth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260717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2026-05-15T22:18:19Z</dcterms:created>
  <dcterms:modified xsi:type="dcterms:W3CDTF">2026-07-19T04:15:36Z</dcterms:modified>
</cp:coreProperties>
</file>