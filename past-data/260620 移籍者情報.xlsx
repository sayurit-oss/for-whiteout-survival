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B78A31C0-39F0-43BD-A7E4-ECEAD82AFB05}" xr6:coauthVersionLast="47" xr6:coauthVersionMax="47" xr10:uidLastSave="{00000000-0000-0000-0000-000000000000}"/>
  <bookViews>
    <workbookView xWindow="-110" yWindow="-110" windowWidth="23260" windowHeight="14860" xr2:uid="{9E63B997-7E97-4022-9E85-807A8163A3AC}"/>
  </bookViews>
  <sheets>
    <sheet name="確定 (2)" sheetId="4" r:id="rId1"/>
    <sheet name="確定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4" l="1"/>
  <c r="E54" i="4"/>
  <c r="E53" i="4"/>
  <c r="L52" i="4"/>
  <c r="J52" i="4"/>
  <c r="I52" i="4"/>
  <c r="F52" i="4"/>
  <c r="E52" i="4"/>
  <c r="L51" i="4"/>
  <c r="K51" i="4"/>
  <c r="J51" i="4"/>
  <c r="I51" i="4"/>
  <c r="F51" i="4"/>
  <c r="E51" i="4"/>
  <c r="F48" i="4"/>
  <c r="E48" i="4"/>
  <c r="X74" i="3"/>
  <c r="S74" i="3"/>
  <c r="U63" i="3" s="1"/>
  <c r="F96" i="3"/>
  <c r="F95" i="3"/>
  <c r="L96" i="3"/>
  <c r="L95" i="3"/>
  <c r="J96" i="3"/>
  <c r="J95" i="3"/>
  <c r="I96" i="3"/>
  <c r="K95" i="3"/>
  <c r="I95" i="3"/>
  <c r="E95" i="3"/>
  <c r="E99" i="3"/>
  <c r="E98" i="3"/>
  <c r="E97" i="3"/>
  <c r="E96" i="3"/>
  <c r="E92" i="3"/>
  <c r="F92" i="3"/>
  <c r="U73" i="3" l="1"/>
  <c r="U70" i="3"/>
  <c r="U68" i="3"/>
  <c r="U67" i="3"/>
  <c r="U65" i="3"/>
  <c r="U72" i="3"/>
  <c r="U71" i="3"/>
  <c r="U69" i="3"/>
  <c r="U66" i="3"/>
  <c r="U64" i="3"/>
  <c r="U75" i="3" s="1"/>
</calcChain>
</file>

<file path=xl/sharedStrings.xml><?xml version="1.0" encoding="utf-8"?>
<sst xmlns="http://schemas.openxmlformats.org/spreadsheetml/2006/main" count="513" uniqueCount="156">
  <si>
    <t>ポメプー</t>
    <phoneticPr fontId="1"/>
  </si>
  <si>
    <t>オハラ</t>
    <phoneticPr fontId="1"/>
  </si>
  <si>
    <t>ジェシー</t>
    <phoneticPr fontId="1"/>
  </si>
  <si>
    <t>パトリック</t>
    <phoneticPr fontId="1"/>
  </si>
  <si>
    <t>フレンダー</t>
    <phoneticPr fontId="1"/>
  </si>
  <si>
    <t>同盟</t>
    <rPh sb="0" eb="2">
      <t>ドウメイ</t>
    </rPh>
    <phoneticPr fontId="1"/>
  </si>
  <si>
    <t>名前</t>
    <rPh sb="0" eb="2">
      <t>ナマエ</t>
    </rPh>
    <phoneticPr fontId="1"/>
  </si>
  <si>
    <t>MMC</t>
    <phoneticPr fontId="1"/>
  </si>
  <si>
    <t>わからん</t>
    <phoneticPr fontId="1"/>
  </si>
  <si>
    <t>harupon</t>
    <phoneticPr fontId="1"/>
  </si>
  <si>
    <t>ringo</t>
    <phoneticPr fontId="1"/>
  </si>
  <si>
    <t>明太もちチーズ</t>
    <rPh sb="0" eb="2">
      <t>メンタイ</t>
    </rPh>
    <phoneticPr fontId="1"/>
  </si>
  <si>
    <t>マンダラ</t>
    <phoneticPr fontId="1"/>
  </si>
  <si>
    <t>ハンギョ</t>
    <phoneticPr fontId="1"/>
  </si>
  <si>
    <t>Joy</t>
    <phoneticPr fontId="1"/>
  </si>
  <si>
    <t>中村問答無用</t>
    <rPh sb="0" eb="6">
      <t>ナカムラモンドウムヨウ</t>
    </rPh>
    <phoneticPr fontId="1"/>
  </si>
  <si>
    <t>JFW</t>
    <phoneticPr fontId="1"/>
  </si>
  <si>
    <t>オーキッド</t>
    <phoneticPr fontId="1"/>
  </si>
  <si>
    <t>rlx</t>
    <phoneticPr fontId="1"/>
  </si>
  <si>
    <t>れくさす</t>
    <phoneticPr fontId="1"/>
  </si>
  <si>
    <t>KENT</t>
    <phoneticPr fontId="1"/>
  </si>
  <si>
    <t>黒潮丸</t>
    <rPh sb="0" eb="2">
      <t>クロシオ</t>
    </rPh>
    <rPh sb="2" eb="3">
      <t>マル</t>
    </rPh>
    <phoneticPr fontId="1"/>
  </si>
  <si>
    <t>なはらた</t>
    <phoneticPr fontId="1"/>
  </si>
  <si>
    <t>ばりうけさん</t>
    <phoneticPr fontId="1"/>
  </si>
  <si>
    <t>とりあえずビール</t>
    <phoneticPr fontId="1"/>
  </si>
  <si>
    <t>えんまめ</t>
    <phoneticPr fontId="1"/>
  </si>
  <si>
    <t>mii</t>
    <phoneticPr fontId="1"/>
  </si>
  <si>
    <t>こた</t>
    <phoneticPr fontId="1"/>
  </si>
  <si>
    <t>アッシュ</t>
    <phoneticPr fontId="1"/>
  </si>
  <si>
    <t>備考</t>
    <phoneticPr fontId="1"/>
  </si>
  <si>
    <t>移籍先</t>
    <rPh sb="0" eb="3">
      <t>イセキサキ</t>
    </rPh>
    <phoneticPr fontId="1"/>
  </si>
  <si>
    <t>魚犬</t>
    <rPh sb="0" eb="2">
      <t>サカナイヌ</t>
    </rPh>
    <phoneticPr fontId="1"/>
  </si>
  <si>
    <t>Tarutomo</t>
    <phoneticPr fontId="1"/>
  </si>
  <si>
    <t>Yokohamaさん</t>
    <phoneticPr fontId="1"/>
  </si>
  <si>
    <t>ねね鹿</t>
    <rPh sb="2" eb="3">
      <t>シカ</t>
    </rPh>
    <phoneticPr fontId="1"/>
  </si>
  <si>
    <t>KFC</t>
    <phoneticPr fontId="1"/>
  </si>
  <si>
    <t>列1</t>
  </si>
  <si>
    <t>ショーン伍長</t>
    <rPh sb="4" eb="6">
      <t>ゴチョウ</t>
    </rPh>
    <phoneticPr fontId="1"/>
  </si>
  <si>
    <t>愛犬クル</t>
    <rPh sb="0" eb="2">
      <t>アイケン</t>
    </rPh>
    <phoneticPr fontId="1"/>
  </si>
  <si>
    <t>くま3</t>
    <phoneticPr fontId="1"/>
  </si>
  <si>
    <t>すん</t>
    <phoneticPr fontId="1"/>
  </si>
  <si>
    <t>わんこ</t>
    <phoneticPr fontId="1"/>
  </si>
  <si>
    <t>やらかす猫</t>
    <rPh sb="4" eb="5">
      <t>ネコ</t>
    </rPh>
    <phoneticPr fontId="1"/>
  </si>
  <si>
    <t>ジョイ</t>
    <phoneticPr fontId="1"/>
  </si>
  <si>
    <t>ゆめゆめ</t>
    <phoneticPr fontId="1"/>
  </si>
  <si>
    <t>ぶどう</t>
    <phoneticPr fontId="1"/>
  </si>
  <si>
    <t>盾</t>
    <rPh sb="0" eb="1">
      <t>タテ</t>
    </rPh>
    <phoneticPr fontId="1"/>
  </si>
  <si>
    <t>槍</t>
    <rPh sb="0" eb="1">
      <t>ヤリ</t>
    </rPh>
    <phoneticPr fontId="1"/>
  </si>
  <si>
    <t>弓</t>
    <rPh sb="0" eb="1">
      <t>ユミ</t>
    </rPh>
    <phoneticPr fontId="1"/>
  </si>
  <si>
    <t>かけもち</t>
    <phoneticPr fontId="1"/>
  </si>
  <si>
    <t>22時退出⇒2時戻り</t>
    <rPh sb="2" eb="3">
      <t>ジ</t>
    </rPh>
    <rPh sb="3" eb="5">
      <t>タイシュツ</t>
    </rPh>
    <rPh sb="7" eb="8">
      <t>ジ</t>
    </rPh>
    <rPh sb="8" eb="9">
      <t>モド</t>
    </rPh>
    <phoneticPr fontId="1"/>
  </si>
  <si>
    <t>23時まで</t>
    <rPh sb="2" eb="3">
      <t>ジ</t>
    </rPh>
    <phoneticPr fontId="1"/>
  </si>
  <si>
    <t>ばりさぶ</t>
    <phoneticPr fontId="1"/>
  </si>
  <si>
    <t>火晶</t>
    <rPh sb="0" eb="1">
      <t>ヒ</t>
    </rPh>
    <rPh sb="1" eb="2">
      <t>アキラ</t>
    </rPh>
    <phoneticPr fontId="1"/>
  </si>
  <si>
    <t>少し遅れるかも</t>
    <rPh sb="0" eb="1">
      <t>スコ</t>
    </rPh>
    <rPh sb="2" eb="3">
      <t>オク</t>
    </rPh>
    <phoneticPr fontId="1"/>
  </si>
  <si>
    <t>0時まで</t>
    <rPh sb="1" eb="2">
      <t>ジ</t>
    </rPh>
    <phoneticPr fontId="1"/>
  </si>
  <si>
    <t>NAO</t>
    <phoneticPr fontId="1"/>
  </si>
  <si>
    <t>DON</t>
    <phoneticPr fontId="1"/>
  </si>
  <si>
    <t>KFC</t>
  </si>
  <si>
    <t>KFC</t>
    <phoneticPr fontId="1"/>
  </si>
  <si>
    <t>1時まで</t>
    <rPh sb="1" eb="2">
      <t>ジ</t>
    </rPh>
    <phoneticPr fontId="1"/>
  </si>
  <si>
    <t>22時から</t>
    <rPh sb="2" eb="3">
      <t>ジ</t>
    </rPh>
    <phoneticPr fontId="1"/>
  </si>
  <si>
    <t>星龍富士虎</t>
    <rPh sb="0" eb="1">
      <t>ホシ</t>
    </rPh>
    <rPh sb="1" eb="2">
      <t>リュウ</t>
    </rPh>
    <rPh sb="2" eb="5">
      <t>フジトラ</t>
    </rPh>
    <phoneticPr fontId="1"/>
  </si>
  <si>
    <t>参加できるかも</t>
    <rPh sb="0" eb="2">
      <t>サンカ</t>
    </rPh>
    <phoneticPr fontId="1"/>
  </si>
  <si>
    <t>セコム</t>
  </si>
  <si>
    <t>たけし</t>
  </si>
  <si>
    <t>ナッツ</t>
  </si>
  <si>
    <t>しん</t>
  </si>
  <si>
    <t>SUZACU</t>
  </si>
  <si>
    <t>まちゃ</t>
  </si>
  <si>
    <t>きりか</t>
  </si>
  <si>
    <t>Bell</t>
  </si>
  <si>
    <t>リムル</t>
  </si>
  <si>
    <t>カヲル</t>
  </si>
  <si>
    <t>enan</t>
  </si>
  <si>
    <t>とーと</t>
  </si>
  <si>
    <t>GTR</t>
  </si>
  <si>
    <t>バナナ</t>
  </si>
  <si>
    <t>OMI</t>
  </si>
  <si>
    <t>kai</t>
  </si>
  <si>
    <t>もちこ</t>
  </si>
  <si>
    <t>ヌル8</t>
  </si>
  <si>
    <t>Mingo</t>
  </si>
  <si>
    <t>チムニーモンスター</t>
  </si>
  <si>
    <t>いろは</t>
  </si>
  <si>
    <t>MMC</t>
    <phoneticPr fontId="1"/>
  </si>
  <si>
    <t>0時から</t>
    <rPh sb="1" eb="2">
      <t>ジ</t>
    </rPh>
    <phoneticPr fontId="1"/>
  </si>
  <si>
    <t>wan</t>
    <phoneticPr fontId="1"/>
  </si>
  <si>
    <t>ロッキー</t>
    <phoneticPr fontId="1"/>
  </si>
  <si>
    <t>ちゃま</t>
    <phoneticPr fontId="1"/>
  </si>
  <si>
    <t>エミリア</t>
    <phoneticPr fontId="1"/>
  </si>
  <si>
    <t>23時まで</t>
    <rPh sb="2" eb="3">
      <t>ジ</t>
    </rPh>
    <phoneticPr fontId="1"/>
  </si>
  <si>
    <t>rlx</t>
    <phoneticPr fontId="1"/>
  </si>
  <si>
    <t>kgm</t>
    <phoneticPr fontId="1"/>
  </si>
  <si>
    <t>おいもちゃん</t>
    <phoneticPr fontId="1"/>
  </si>
  <si>
    <t>Co</t>
    <phoneticPr fontId="1"/>
  </si>
  <si>
    <t>TDK</t>
    <phoneticPr fontId="1"/>
  </si>
  <si>
    <t>ひーー</t>
    <phoneticPr fontId="1"/>
  </si>
  <si>
    <t>apis</t>
    <phoneticPr fontId="1"/>
  </si>
  <si>
    <t>Ris</t>
    <phoneticPr fontId="1"/>
  </si>
  <si>
    <t>mrun</t>
    <phoneticPr fontId="1"/>
  </si>
  <si>
    <t>受け入れ可能人数</t>
    <rPh sb="0" eb="1">
      <t>ウ</t>
    </rPh>
    <rPh sb="2" eb="3">
      <t>イ</t>
    </rPh>
    <rPh sb="4" eb="8">
      <t>カノウニンズウ</t>
    </rPh>
    <phoneticPr fontId="1"/>
  </si>
  <si>
    <t>火晶人数</t>
    <rPh sb="0" eb="2">
      <t>カショウ</t>
    </rPh>
    <rPh sb="2" eb="4">
      <t>ニンズウ</t>
    </rPh>
    <phoneticPr fontId="1"/>
  </si>
  <si>
    <t>移動人数</t>
    <rPh sb="0" eb="2">
      <t>イドウ</t>
    </rPh>
    <rPh sb="2" eb="4">
      <t>ニンズウ</t>
    </rPh>
    <phoneticPr fontId="1"/>
  </si>
  <si>
    <t>盾5</t>
    <rPh sb="0" eb="1">
      <t>タテ</t>
    </rPh>
    <phoneticPr fontId="1"/>
  </si>
  <si>
    <t>弓5</t>
    <rPh sb="0" eb="1">
      <t>ユミ</t>
    </rPh>
    <phoneticPr fontId="1"/>
  </si>
  <si>
    <t>槍5</t>
    <rPh sb="0" eb="1">
      <t>ヤリ</t>
    </rPh>
    <phoneticPr fontId="1"/>
  </si>
  <si>
    <t>松戸MAX</t>
    <rPh sb="0" eb="2">
      <t>マツド</t>
    </rPh>
    <phoneticPr fontId="1"/>
  </si>
  <si>
    <t>【確定】</t>
    <rPh sb="1" eb="3">
      <t>カクテイ</t>
    </rPh>
    <phoneticPr fontId="1"/>
  </si>
  <si>
    <t>KFC</t>
    <phoneticPr fontId="1"/>
  </si>
  <si>
    <t>MMC</t>
    <phoneticPr fontId="1"/>
  </si>
  <si>
    <t>しずく</t>
    <phoneticPr fontId="1"/>
  </si>
  <si>
    <t>yaasuuu</t>
    <phoneticPr fontId="1"/>
  </si>
  <si>
    <t>アキ</t>
    <phoneticPr fontId="1"/>
  </si>
  <si>
    <t>rlx</t>
  </si>
  <si>
    <t>ゆうな</t>
  </si>
  <si>
    <t>YBS</t>
  </si>
  <si>
    <t>とぼけいぬ</t>
    <phoneticPr fontId="1"/>
  </si>
  <si>
    <t>MMC</t>
    <phoneticPr fontId="1"/>
  </si>
  <si>
    <t>にゃんち</t>
    <phoneticPr fontId="1"/>
  </si>
  <si>
    <t>Tequila008</t>
    <phoneticPr fontId="1"/>
  </si>
  <si>
    <t>サブケンちゃん</t>
    <phoneticPr fontId="1"/>
  </si>
  <si>
    <t>よもぎ</t>
    <phoneticPr fontId="1"/>
  </si>
  <si>
    <t>NYA</t>
    <phoneticPr fontId="1"/>
  </si>
  <si>
    <t>22時半から</t>
    <rPh sb="2" eb="4">
      <t>ジハン</t>
    </rPh>
    <phoneticPr fontId="1"/>
  </si>
  <si>
    <t>にくQ</t>
    <phoneticPr fontId="1"/>
  </si>
  <si>
    <t>rlx</t>
    <phoneticPr fontId="1"/>
  </si>
  <si>
    <t>クエン</t>
    <phoneticPr fontId="1"/>
  </si>
  <si>
    <t>Ris</t>
    <phoneticPr fontId="1"/>
  </si>
  <si>
    <t>MGA</t>
    <phoneticPr fontId="1"/>
  </si>
  <si>
    <t>あっちゃん</t>
    <phoneticPr fontId="1"/>
  </si>
  <si>
    <t>ナーナ</t>
    <phoneticPr fontId="1"/>
  </si>
  <si>
    <t>こぼたん</t>
    <phoneticPr fontId="1"/>
  </si>
  <si>
    <t>ぺーさん</t>
    <phoneticPr fontId="1"/>
  </si>
  <si>
    <t>にーも</t>
    <phoneticPr fontId="1"/>
  </si>
  <si>
    <t>ぴろっち</t>
    <phoneticPr fontId="1"/>
  </si>
  <si>
    <t>そらりん</t>
    <phoneticPr fontId="1"/>
  </si>
  <si>
    <t>フランシスカ</t>
    <phoneticPr fontId="1"/>
  </si>
  <si>
    <t>遅れるかも</t>
    <rPh sb="0" eb="1">
      <t>オク</t>
    </rPh>
    <phoneticPr fontId="1"/>
  </si>
  <si>
    <t>rlx</t>
    <phoneticPr fontId="1"/>
  </si>
  <si>
    <t>ジラーチ</t>
    <phoneticPr fontId="1"/>
  </si>
  <si>
    <t>MORO</t>
    <phoneticPr fontId="1"/>
  </si>
  <si>
    <t>MMC</t>
    <phoneticPr fontId="1"/>
  </si>
  <si>
    <t>KFC</t>
    <phoneticPr fontId="1"/>
  </si>
  <si>
    <t>列2</t>
    <phoneticPr fontId="1"/>
  </si>
  <si>
    <t>MMC</t>
    <phoneticPr fontId="1"/>
  </si>
  <si>
    <t>KFC</t>
    <phoneticPr fontId="1"/>
  </si>
  <si>
    <t>JFW</t>
    <phoneticPr fontId="1"/>
  </si>
  <si>
    <t>DON</t>
    <phoneticPr fontId="1"/>
  </si>
  <si>
    <t>wan</t>
    <phoneticPr fontId="1"/>
  </si>
  <si>
    <t>rlx</t>
    <phoneticPr fontId="1"/>
  </si>
  <si>
    <t>YBS</t>
    <phoneticPr fontId="1"/>
  </si>
  <si>
    <t>NYA</t>
    <phoneticPr fontId="1"/>
  </si>
  <si>
    <t>TDK</t>
    <phoneticPr fontId="1"/>
  </si>
  <si>
    <t>Ris</t>
    <phoneticPr fontId="1"/>
  </si>
  <si>
    <t>MGA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</si>
</sst>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2" borderId="2" xfId="0" applyFill="1" applyBorder="1" applyAlignment="1">
      <alignment horizontal="center"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50">
    <dxf>
      <font>
        <b/>
        <i val="0"/>
        <color theme="9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rgb="FF000000"/>
          <bgColor rgb="FFFFFFFF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F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rgb="FF000000"/>
          <bgColor rgb="FFFFFFFF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テーブル スタイル 1" pivot="0" count="3" xr9:uid="{8438CCF6-7EAA-4BC3-B225-1093B6C1424D}">
      <tableStyleElement type="wholeTable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47A8B-8743-4801-842D-8C262E71548C}" name="テーブル323" displayName="テーブル323" ref="B2:N48" insertRowShift="1" totalsRowCount="1" headerRowDxfId="30" totalsRowDxfId="29">
  <autoFilter ref="B2:N47" xr:uid="{EF4F626B-CF28-4E0F-85D0-EEDB04574A10}"/>
  <tableColumns count="13">
    <tableColumn id="11" xr3:uid="{95B49ED4-5A17-4AA4-BD58-2A923F024EC1}" name="列1" totalsRowDxfId="28"/>
    <tableColumn id="1" xr3:uid="{CA655CF2-A63D-44B4-9985-A749B0429AF2}" name="同盟" totalsRowDxfId="27"/>
    <tableColumn id="2" xr3:uid="{7B216E87-5206-4160-8902-C027B237CE71}" name="名前" totalsRowDxfId="26"/>
    <tableColumn id="3" xr3:uid="{0ABC77C2-0007-426E-B569-8F58BF20A92E}" name="火晶" totalsRowFunction="custom" dataDxfId="24" totalsRowDxfId="25">
      <totalsRowFormula>"火晶は"&amp;COUNTIF(テーブル323[火晶],1)+COUNTIF(テーブル323[火晶],2)+COUNTIF(テーブル323[火晶],3)+COUNTIF(テーブル323[火晶],4)+COUNTIF(テーブル323[火晶],5)&amp;"人"</totalsRowFormula>
    </tableColumn>
    <tableColumn id="4" xr3:uid="{B436159C-567A-41BF-A057-01A99036ED49}" name="盾" totalsRowFunction="custom" totalsRowDxfId="23">
      <totalsRowFormula>"盾火晶5は"&amp;COUNTIF(テーブル323[盾],5)&amp;"人"</totalsRowFormula>
    </tableColumn>
    <tableColumn id="12" xr3:uid="{702D01AE-BC8A-4939-B291-E109F7785BE3}" name="槍" totalsRowDxfId="22"/>
    <tableColumn id="10" xr3:uid="{DDDF3837-F8E1-4413-B016-1142E06039E5}" name="弓" totalsRowDxfId="21"/>
    <tableColumn id="5" xr3:uid="{F4BAFF4F-1925-4C95-A30B-702C0FB35CFD}" name="ジェシー" totalsRowDxfId="20"/>
    <tableColumn id="6" xr3:uid="{44F62D7E-B4A0-49DC-84C8-70558DC7BEDF}" name="パトリック" totalsRowDxfId="19"/>
    <tableColumn id="7" xr3:uid="{DC3DF126-9C1A-4C0B-8917-3FB0BB484008}" name="フレンダー" totalsRowDxfId="18"/>
    <tableColumn id="8" xr3:uid="{4E62B9F6-8AA0-43A2-8916-D57714138DCD}" name="備考" totalsRowDxfId="17"/>
    <tableColumn id="9" xr3:uid="{BA9AE790-19AA-4A9F-A35B-8E396AF8EA52}" name="移籍先" totalsRowDxfId="16"/>
    <tableColumn id="13" xr3:uid="{32CFF427-5E92-486F-9D54-D9099AB10089}" name="列2" totalsRowDxfId="15"/>
  </tableColumns>
  <tableStyleInfo name="テーブル スタイル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562D5-B9F4-4A16-830C-EB6CA98FD945}" name="テーブル32" displayName="テーブル32" ref="B2:N92" insertRowShift="1" totalsRowCount="1" headerRowDxfId="46" totalsRowDxfId="45">
  <autoFilter ref="B2:N91" xr:uid="{EF4F626B-CF28-4E0F-85D0-EEDB04574A10}">
    <filterColumn colId="3">
      <filters>
        <filter val="4"/>
        <filter val="5"/>
      </filters>
    </filterColumn>
  </autoFilter>
  <tableColumns count="13">
    <tableColumn id="11" xr3:uid="{C87CB0EE-FBB7-45B9-9C5F-54E07FC75C33}" name="列1" totalsRowDxfId="44"/>
    <tableColumn id="1" xr3:uid="{1E6DE972-2DAC-466A-ABC1-1E68982529CE}" name="同盟" totalsRowDxfId="43"/>
    <tableColumn id="2" xr3:uid="{05739DC3-9397-418B-B425-5BA0BD248543}" name="名前" totalsRowDxfId="42"/>
    <tableColumn id="3" xr3:uid="{A900CB7E-5E08-40DD-BFF4-A9F777A58908}" name="火晶" totalsRowFunction="custom" dataDxfId="41" totalsRowDxfId="40">
      <totalsRowFormula>"火晶は"&amp;COUNTIF(テーブル32[火晶],1)+COUNTIF(テーブル32[火晶],2)+COUNTIF(テーブル32[火晶],3)+COUNTIF(テーブル32[火晶],4)+COUNTIF(テーブル32[火晶],5)&amp;"人"</totalsRowFormula>
    </tableColumn>
    <tableColumn id="4" xr3:uid="{F32CFE14-A9F8-47BE-B715-A794CFC8D2E3}" name="盾" totalsRowFunction="custom" totalsRowDxfId="39">
      <totalsRowFormula>"盾火晶5は"&amp;COUNTIF(テーブル32[盾],5)&amp;"人"</totalsRowFormula>
    </tableColumn>
    <tableColumn id="12" xr3:uid="{F0F68073-AA89-49AD-ABE5-A8E411E66FAA}" name="槍" totalsRowDxfId="38"/>
    <tableColumn id="10" xr3:uid="{4847D404-9954-4234-9EA6-8C26FE0B8038}" name="弓" totalsRowDxfId="37"/>
    <tableColumn id="5" xr3:uid="{4B4EC9BA-A5D4-427B-8444-CAE36F49FEDE}" name="ジェシー" totalsRowDxfId="36"/>
    <tableColumn id="6" xr3:uid="{6F259051-6958-4ADB-BEAE-82383C84E67D}" name="パトリック" totalsRowDxfId="35"/>
    <tableColumn id="7" xr3:uid="{FAF32A11-87A3-4E05-AFB5-81B05DD210B1}" name="フレンダー" totalsRowDxfId="34"/>
    <tableColumn id="8" xr3:uid="{5207145E-03D1-4320-962B-4C756E46321C}" name="備考" totalsRowDxfId="33"/>
    <tableColumn id="9" xr3:uid="{550252A9-197A-423F-A8A0-27B0429DBBC0}" name="移籍先" totalsRowDxfId="32"/>
    <tableColumn id="13" xr3:uid="{28F78A04-127A-4BED-BC16-43AFAC33023E}" name="列2" totalsRowDxfId="31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6FF8-9E2B-4116-AA35-F90A38406ECE}">
  <sheetPr>
    <pageSetUpPr fitToPage="1"/>
  </sheetPr>
  <dimension ref="B1:N55"/>
  <sheetViews>
    <sheetView tabSelected="1" zoomScale="85" zoomScaleNormal="85" workbookViewId="0">
      <pane ySplit="2" topLeftCell="A27" activePane="bottomLeft" state="frozen"/>
      <selection pane="bottomLeft" activeCell="U36" sqref="U36"/>
    </sheetView>
  </sheetViews>
  <sheetFormatPr defaultRowHeight="18" x14ac:dyDescent="0.55000000000000004"/>
  <cols>
    <col min="3" max="3" width="8.25" customWidth="1"/>
    <col min="4" max="4" width="16.58203125" customWidth="1"/>
    <col min="5" max="5" width="10.08203125" customWidth="1"/>
    <col min="6" max="8" width="6.58203125" customWidth="1"/>
    <col min="9" max="10" width="14.1640625" customWidth="1"/>
    <col min="11" max="11" width="14.1640625" hidden="1" customWidth="1"/>
    <col min="12" max="12" width="18" customWidth="1"/>
  </cols>
  <sheetData>
    <row r="1" spans="2:14" x14ac:dyDescent="0.55000000000000004">
      <c r="B1" t="s">
        <v>108</v>
      </c>
    </row>
    <row r="2" spans="2:14" x14ac:dyDescent="0.55000000000000004">
      <c r="B2" s="2" t="s">
        <v>36</v>
      </c>
      <c r="C2" s="2" t="s">
        <v>5</v>
      </c>
      <c r="D2" s="2" t="s">
        <v>6</v>
      </c>
      <c r="E2" s="2" t="s">
        <v>53</v>
      </c>
      <c r="F2" s="2" t="s">
        <v>46</v>
      </c>
      <c r="G2" s="2" t="s">
        <v>47</v>
      </c>
      <c r="H2" s="2" t="s">
        <v>48</v>
      </c>
      <c r="I2" s="2" t="s">
        <v>2</v>
      </c>
      <c r="J2" s="2" t="s">
        <v>3</v>
      </c>
      <c r="K2" s="2" t="s">
        <v>4</v>
      </c>
      <c r="L2" s="2" t="s">
        <v>29</v>
      </c>
      <c r="M2" s="2" t="s">
        <v>30</v>
      </c>
      <c r="N2" s="2" t="s">
        <v>144</v>
      </c>
    </row>
    <row r="3" spans="2:14" x14ac:dyDescent="0.55000000000000004">
      <c r="B3">
        <v>5</v>
      </c>
      <c r="C3" t="s">
        <v>7</v>
      </c>
      <c r="D3" t="s">
        <v>11</v>
      </c>
      <c r="E3">
        <v>4</v>
      </c>
      <c r="F3">
        <v>4</v>
      </c>
      <c r="G3">
        <v>3</v>
      </c>
      <c r="H3">
        <v>3</v>
      </c>
      <c r="I3">
        <v>5</v>
      </c>
      <c r="J3">
        <v>5</v>
      </c>
      <c r="L3" t="s">
        <v>50</v>
      </c>
      <c r="M3" t="s">
        <v>7</v>
      </c>
    </row>
    <row r="4" spans="2:14" x14ac:dyDescent="0.55000000000000004">
      <c r="B4">
        <v>6</v>
      </c>
      <c r="C4" t="s">
        <v>7</v>
      </c>
      <c r="D4" t="s">
        <v>28</v>
      </c>
      <c r="E4">
        <v>4</v>
      </c>
      <c r="F4">
        <v>4</v>
      </c>
      <c r="G4">
        <v>4</v>
      </c>
      <c r="H4">
        <v>4</v>
      </c>
      <c r="I4">
        <v>5</v>
      </c>
      <c r="J4">
        <v>5</v>
      </c>
      <c r="M4" t="s">
        <v>7</v>
      </c>
    </row>
    <row r="5" spans="2:14" x14ac:dyDescent="0.55000000000000004">
      <c r="B5">
        <v>9</v>
      </c>
      <c r="C5" t="s">
        <v>7</v>
      </c>
      <c r="D5" t="s">
        <v>39</v>
      </c>
      <c r="E5">
        <v>4</v>
      </c>
      <c r="F5">
        <v>3</v>
      </c>
      <c r="G5">
        <v>4</v>
      </c>
      <c r="H5">
        <v>3</v>
      </c>
      <c r="I5">
        <v>5</v>
      </c>
      <c r="J5">
        <v>5</v>
      </c>
      <c r="L5" t="s">
        <v>51</v>
      </c>
      <c r="M5" t="s">
        <v>7</v>
      </c>
    </row>
    <row r="6" spans="2:14" x14ac:dyDescent="0.55000000000000004">
      <c r="B6">
        <v>11</v>
      </c>
      <c r="C6" t="s">
        <v>7</v>
      </c>
      <c r="D6" t="s">
        <v>13</v>
      </c>
      <c r="E6">
        <v>5</v>
      </c>
      <c r="F6">
        <v>5</v>
      </c>
      <c r="G6">
        <v>4</v>
      </c>
      <c r="H6">
        <v>5</v>
      </c>
      <c r="I6">
        <v>5</v>
      </c>
      <c r="J6">
        <v>5</v>
      </c>
      <c r="L6" t="s">
        <v>55</v>
      </c>
      <c r="M6" t="s">
        <v>7</v>
      </c>
    </row>
    <row r="7" spans="2:14" x14ac:dyDescent="0.55000000000000004">
      <c r="B7">
        <v>16</v>
      </c>
      <c r="C7" t="s">
        <v>7</v>
      </c>
      <c r="D7" t="s">
        <v>20</v>
      </c>
      <c r="E7">
        <v>4</v>
      </c>
      <c r="F7">
        <v>3</v>
      </c>
      <c r="G7">
        <v>3</v>
      </c>
      <c r="H7">
        <v>3</v>
      </c>
      <c r="I7">
        <v>5</v>
      </c>
      <c r="J7">
        <v>5</v>
      </c>
      <c r="M7" t="s">
        <v>7</v>
      </c>
    </row>
    <row r="8" spans="2:14" x14ac:dyDescent="0.55000000000000004">
      <c r="B8">
        <v>19</v>
      </c>
      <c r="C8" t="s">
        <v>7</v>
      </c>
      <c r="D8" t="s">
        <v>23</v>
      </c>
      <c r="E8">
        <v>4</v>
      </c>
      <c r="F8">
        <v>3</v>
      </c>
      <c r="G8">
        <v>3</v>
      </c>
      <c r="H8">
        <v>3</v>
      </c>
      <c r="I8">
        <v>5</v>
      </c>
      <c r="J8">
        <v>5</v>
      </c>
      <c r="M8" t="s">
        <v>7</v>
      </c>
    </row>
    <row r="9" spans="2:14" x14ac:dyDescent="0.55000000000000004">
      <c r="B9">
        <v>27</v>
      </c>
      <c r="C9" t="s">
        <v>58</v>
      </c>
      <c r="D9" t="s">
        <v>64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M9" t="s">
        <v>35</v>
      </c>
    </row>
    <row r="10" spans="2:14" x14ac:dyDescent="0.55000000000000004">
      <c r="B10">
        <v>29</v>
      </c>
      <c r="C10" t="s">
        <v>58</v>
      </c>
      <c r="D10" t="s">
        <v>66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M10" t="s">
        <v>35</v>
      </c>
    </row>
    <row r="11" spans="2:14" x14ac:dyDescent="0.55000000000000004">
      <c r="B11">
        <v>30</v>
      </c>
      <c r="C11" t="s">
        <v>58</v>
      </c>
      <c r="D11" t="s">
        <v>67</v>
      </c>
      <c r="E11">
        <v>5</v>
      </c>
      <c r="F11">
        <v>5</v>
      </c>
      <c r="G11">
        <v>4</v>
      </c>
      <c r="H11">
        <v>5</v>
      </c>
      <c r="I11">
        <v>5</v>
      </c>
      <c r="J11">
        <v>5</v>
      </c>
      <c r="L11" t="s">
        <v>61</v>
      </c>
      <c r="M11" t="s">
        <v>35</v>
      </c>
    </row>
    <row r="12" spans="2:14" x14ac:dyDescent="0.55000000000000004">
      <c r="B12">
        <v>31</v>
      </c>
      <c r="C12" t="s">
        <v>58</v>
      </c>
      <c r="D12" t="s">
        <v>68</v>
      </c>
      <c r="E12">
        <v>4</v>
      </c>
      <c r="F12">
        <v>4</v>
      </c>
      <c r="G12">
        <v>4</v>
      </c>
      <c r="H12">
        <v>4</v>
      </c>
      <c r="I12">
        <v>5</v>
      </c>
      <c r="J12">
        <v>5</v>
      </c>
      <c r="M12" t="s">
        <v>35</v>
      </c>
    </row>
    <row r="13" spans="2:14" x14ac:dyDescent="0.55000000000000004">
      <c r="B13">
        <v>32</v>
      </c>
      <c r="C13" t="s">
        <v>58</v>
      </c>
      <c r="D13" t="s">
        <v>62</v>
      </c>
      <c r="E13">
        <v>4</v>
      </c>
      <c r="F13">
        <v>4</v>
      </c>
      <c r="G13">
        <v>4</v>
      </c>
      <c r="H13">
        <v>4</v>
      </c>
      <c r="I13">
        <v>5</v>
      </c>
      <c r="J13">
        <v>5</v>
      </c>
      <c r="M13" t="s">
        <v>35</v>
      </c>
    </row>
    <row r="14" spans="2:14" x14ac:dyDescent="0.55000000000000004">
      <c r="B14">
        <v>33</v>
      </c>
      <c r="C14" t="s">
        <v>58</v>
      </c>
      <c r="D14" s="6">
        <v>110</v>
      </c>
      <c r="E14">
        <v>4</v>
      </c>
      <c r="F14">
        <v>4</v>
      </c>
      <c r="G14">
        <v>4</v>
      </c>
      <c r="H14">
        <v>4</v>
      </c>
      <c r="I14">
        <v>5</v>
      </c>
      <c r="J14">
        <v>5</v>
      </c>
      <c r="M14" t="s">
        <v>35</v>
      </c>
    </row>
    <row r="15" spans="2:14" x14ac:dyDescent="0.55000000000000004">
      <c r="B15">
        <v>34</v>
      </c>
      <c r="C15" t="s">
        <v>58</v>
      </c>
      <c r="D15" t="s">
        <v>69</v>
      </c>
      <c r="E15">
        <v>4</v>
      </c>
      <c r="F15">
        <v>4</v>
      </c>
      <c r="G15">
        <v>3</v>
      </c>
      <c r="H15">
        <v>3</v>
      </c>
      <c r="I15">
        <v>5</v>
      </c>
      <c r="J15">
        <v>5</v>
      </c>
      <c r="M15" t="s">
        <v>35</v>
      </c>
    </row>
    <row r="16" spans="2:14" x14ac:dyDescent="0.55000000000000004">
      <c r="B16">
        <v>35</v>
      </c>
      <c r="C16" t="s">
        <v>58</v>
      </c>
      <c r="D16" t="s">
        <v>70</v>
      </c>
      <c r="E16">
        <v>4</v>
      </c>
      <c r="F16">
        <v>4</v>
      </c>
      <c r="G16">
        <v>4</v>
      </c>
      <c r="H16">
        <v>4</v>
      </c>
      <c r="I16">
        <v>5</v>
      </c>
      <c r="J16">
        <v>5</v>
      </c>
      <c r="L16" t="s">
        <v>51</v>
      </c>
      <c r="M16" t="s">
        <v>35</v>
      </c>
    </row>
    <row r="17" spans="2:14" x14ac:dyDescent="0.55000000000000004">
      <c r="B17">
        <v>36</v>
      </c>
      <c r="C17" t="s">
        <v>58</v>
      </c>
      <c r="D17" t="s">
        <v>71</v>
      </c>
      <c r="E17">
        <v>4</v>
      </c>
      <c r="F17">
        <v>4</v>
      </c>
      <c r="G17">
        <v>3</v>
      </c>
      <c r="H17">
        <v>3</v>
      </c>
      <c r="I17">
        <v>5</v>
      </c>
      <c r="J17">
        <v>5</v>
      </c>
      <c r="M17" t="s">
        <v>35</v>
      </c>
    </row>
    <row r="18" spans="2:14" x14ac:dyDescent="0.55000000000000004">
      <c r="B18">
        <v>37</v>
      </c>
      <c r="C18" t="s">
        <v>58</v>
      </c>
      <c r="D18" t="s">
        <v>72</v>
      </c>
      <c r="E18">
        <v>4</v>
      </c>
      <c r="F18">
        <v>4</v>
      </c>
      <c r="G18">
        <v>4</v>
      </c>
      <c r="H18">
        <v>4</v>
      </c>
      <c r="I18">
        <v>5</v>
      </c>
      <c r="J18">
        <v>5</v>
      </c>
      <c r="M18" t="s">
        <v>35</v>
      </c>
    </row>
    <row r="19" spans="2:14" x14ac:dyDescent="0.55000000000000004">
      <c r="B19">
        <v>38</v>
      </c>
      <c r="C19" t="s">
        <v>58</v>
      </c>
      <c r="D19" t="s">
        <v>73</v>
      </c>
      <c r="E19">
        <v>4</v>
      </c>
      <c r="F19">
        <v>3</v>
      </c>
      <c r="G19">
        <v>2</v>
      </c>
      <c r="H19">
        <v>3</v>
      </c>
      <c r="I19">
        <v>5</v>
      </c>
      <c r="J19">
        <v>5</v>
      </c>
      <c r="M19" t="s">
        <v>35</v>
      </c>
    </row>
    <row r="20" spans="2:14" x14ac:dyDescent="0.55000000000000004">
      <c r="B20">
        <v>39</v>
      </c>
      <c r="C20" t="s">
        <v>58</v>
      </c>
      <c r="D20" t="s">
        <v>74</v>
      </c>
      <c r="E20">
        <v>4</v>
      </c>
      <c r="F20">
        <v>3</v>
      </c>
      <c r="G20">
        <v>3</v>
      </c>
      <c r="H20">
        <v>3</v>
      </c>
      <c r="I20">
        <v>5</v>
      </c>
      <c r="J20">
        <v>5</v>
      </c>
      <c r="M20" t="s">
        <v>35</v>
      </c>
    </row>
    <row r="21" spans="2:14" x14ac:dyDescent="0.55000000000000004">
      <c r="B21">
        <v>40</v>
      </c>
      <c r="C21" t="s">
        <v>58</v>
      </c>
      <c r="D21" t="s">
        <v>75</v>
      </c>
      <c r="E21">
        <v>4</v>
      </c>
      <c r="F21">
        <v>3</v>
      </c>
      <c r="G21">
        <v>3</v>
      </c>
      <c r="H21">
        <v>3</v>
      </c>
      <c r="I21">
        <v>5</v>
      </c>
      <c r="J21">
        <v>5</v>
      </c>
      <c r="M21" t="s">
        <v>35</v>
      </c>
    </row>
    <row r="22" spans="2:14" x14ac:dyDescent="0.55000000000000004">
      <c r="B22">
        <v>41</v>
      </c>
      <c r="C22" t="s">
        <v>58</v>
      </c>
      <c r="D22" t="s">
        <v>76</v>
      </c>
      <c r="E22">
        <v>4</v>
      </c>
      <c r="F22">
        <v>3</v>
      </c>
      <c r="G22">
        <v>4</v>
      </c>
      <c r="H22">
        <v>3</v>
      </c>
      <c r="I22">
        <v>5</v>
      </c>
      <c r="J22">
        <v>5</v>
      </c>
      <c r="L22" t="s">
        <v>63</v>
      </c>
      <c r="M22" t="s">
        <v>35</v>
      </c>
    </row>
    <row r="23" spans="2:14" x14ac:dyDescent="0.55000000000000004">
      <c r="B23">
        <v>53</v>
      </c>
      <c r="C23" t="s">
        <v>16</v>
      </c>
      <c r="D23" t="s">
        <v>31</v>
      </c>
      <c r="E23">
        <v>4</v>
      </c>
      <c r="F23">
        <v>4</v>
      </c>
      <c r="G23">
        <v>4</v>
      </c>
      <c r="H23">
        <v>4</v>
      </c>
      <c r="I23">
        <v>5</v>
      </c>
      <c r="J23">
        <v>5</v>
      </c>
      <c r="L23" t="s">
        <v>54</v>
      </c>
      <c r="M23" t="s">
        <v>7</v>
      </c>
    </row>
    <row r="24" spans="2:14" x14ac:dyDescent="0.55000000000000004">
      <c r="B24">
        <v>54</v>
      </c>
      <c r="C24" t="s">
        <v>16</v>
      </c>
      <c r="D24" t="s">
        <v>17</v>
      </c>
      <c r="E24">
        <v>4</v>
      </c>
      <c r="F24">
        <v>3</v>
      </c>
      <c r="G24">
        <v>4</v>
      </c>
      <c r="H24">
        <v>3</v>
      </c>
      <c r="I24">
        <v>5</v>
      </c>
      <c r="J24">
        <v>5</v>
      </c>
      <c r="L24" t="s">
        <v>54</v>
      </c>
      <c r="M24" t="s">
        <v>7</v>
      </c>
    </row>
    <row r="25" spans="2:14" x14ac:dyDescent="0.55000000000000004">
      <c r="B25">
        <v>55</v>
      </c>
      <c r="C25" t="s">
        <v>57</v>
      </c>
      <c r="D25" t="s">
        <v>56</v>
      </c>
      <c r="E25">
        <v>5</v>
      </c>
      <c r="F25">
        <v>4</v>
      </c>
      <c r="G25">
        <v>4</v>
      </c>
      <c r="H25">
        <v>4</v>
      </c>
      <c r="I25">
        <v>5</v>
      </c>
      <c r="J25">
        <v>5</v>
      </c>
      <c r="M25" t="s">
        <v>35</v>
      </c>
    </row>
    <row r="26" spans="2:14" x14ac:dyDescent="0.55000000000000004">
      <c r="B26">
        <v>56</v>
      </c>
      <c r="C26" t="s">
        <v>87</v>
      </c>
      <c r="D26" t="s">
        <v>88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M26" t="s">
        <v>35</v>
      </c>
      <c r="N26" t="s">
        <v>7</v>
      </c>
    </row>
    <row r="27" spans="2:14" x14ac:dyDescent="0.55000000000000004">
      <c r="B27">
        <v>58</v>
      </c>
      <c r="C27" t="s">
        <v>87</v>
      </c>
      <c r="D27" t="s">
        <v>1</v>
      </c>
      <c r="E27">
        <v>4</v>
      </c>
      <c r="F27">
        <v>4</v>
      </c>
      <c r="G27">
        <v>4</v>
      </c>
      <c r="H27">
        <v>3</v>
      </c>
      <c r="I27">
        <v>5</v>
      </c>
      <c r="J27">
        <v>5</v>
      </c>
      <c r="M27" t="s">
        <v>35</v>
      </c>
      <c r="N27" t="s">
        <v>7</v>
      </c>
    </row>
    <row r="28" spans="2:14" x14ac:dyDescent="0.55000000000000004">
      <c r="B28">
        <v>59</v>
      </c>
      <c r="C28" t="s">
        <v>87</v>
      </c>
      <c r="D28" t="s">
        <v>89</v>
      </c>
      <c r="E28">
        <v>4</v>
      </c>
      <c r="F28">
        <v>4</v>
      </c>
      <c r="G28">
        <v>3</v>
      </c>
      <c r="H28">
        <v>3</v>
      </c>
      <c r="I28">
        <v>5</v>
      </c>
      <c r="J28">
        <v>5</v>
      </c>
      <c r="M28" t="s">
        <v>35</v>
      </c>
      <c r="N28" t="s">
        <v>7</v>
      </c>
    </row>
    <row r="29" spans="2:14" x14ac:dyDescent="0.55000000000000004">
      <c r="B29">
        <v>60</v>
      </c>
      <c r="C29" t="s">
        <v>87</v>
      </c>
      <c r="D29" t="s">
        <v>117</v>
      </c>
      <c r="E29">
        <v>4</v>
      </c>
      <c r="F29">
        <v>4</v>
      </c>
      <c r="G29">
        <v>4</v>
      </c>
      <c r="H29">
        <v>3</v>
      </c>
      <c r="I29">
        <v>5</v>
      </c>
      <c r="J29">
        <v>5</v>
      </c>
      <c r="M29" t="s">
        <v>35</v>
      </c>
      <c r="N29" t="s">
        <v>7</v>
      </c>
    </row>
    <row r="30" spans="2:14" x14ac:dyDescent="0.55000000000000004">
      <c r="B30">
        <v>61</v>
      </c>
      <c r="C30" t="s">
        <v>87</v>
      </c>
      <c r="D30" t="s">
        <v>90</v>
      </c>
      <c r="E30">
        <v>4</v>
      </c>
      <c r="F30">
        <v>3</v>
      </c>
      <c r="G30">
        <v>4</v>
      </c>
      <c r="H30">
        <v>3</v>
      </c>
      <c r="I30">
        <v>5</v>
      </c>
      <c r="J30">
        <v>5</v>
      </c>
      <c r="M30" t="s">
        <v>35</v>
      </c>
      <c r="N30" t="s">
        <v>7</v>
      </c>
    </row>
    <row r="31" spans="2:14" x14ac:dyDescent="0.55000000000000004">
      <c r="B31">
        <v>63</v>
      </c>
      <c r="C31" t="s">
        <v>18</v>
      </c>
      <c r="D31" t="s">
        <v>33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M31" t="s">
        <v>7</v>
      </c>
    </row>
    <row r="32" spans="2:14" x14ac:dyDescent="0.55000000000000004">
      <c r="B32">
        <v>64</v>
      </c>
      <c r="C32" t="s">
        <v>18</v>
      </c>
      <c r="D32" t="s">
        <v>34</v>
      </c>
      <c r="E32">
        <v>4</v>
      </c>
      <c r="F32">
        <v>4</v>
      </c>
      <c r="G32">
        <v>4</v>
      </c>
      <c r="H32">
        <v>4</v>
      </c>
      <c r="I32">
        <v>5</v>
      </c>
      <c r="J32">
        <v>5</v>
      </c>
      <c r="M32" t="s">
        <v>7</v>
      </c>
    </row>
    <row r="33" spans="2:14" x14ac:dyDescent="0.55000000000000004">
      <c r="B33">
        <v>65</v>
      </c>
      <c r="C33" t="s">
        <v>18</v>
      </c>
      <c r="D33" t="s">
        <v>94</v>
      </c>
      <c r="E33">
        <v>4</v>
      </c>
      <c r="F33">
        <v>3</v>
      </c>
      <c r="G33">
        <v>3</v>
      </c>
      <c r="H33">
        <v>3</v>
      </c>
      <c r="I33">
        <v>5</v>
      </c>
      <c r="J33">
        <v>5</v>
      </c>
      <c r="M33" t="s">
        <v>7</v>
      </c>
    </row>
    <row r="34" spans="2:14" x14ac:dyDescent="0.55000000000000004">
      <c r="B34">
        <v>66</v>
      </c>
      <c r="C34" t="s">
        <v>114</v>
      </c>
      <c r="D34" t="s">
        <v>115</v>
      </c>
      <c r="E34">
        <v>4</v>
      </c>
      <c r="F34">
        <v>4</v>
      </c>
      <c r="G34">
        <v>3</v>
      </c>
      <c r="H34">
        <v>3</v>
      </c>
      <c r="I34">
        <v>5</v>
      </c>
      <c r="J34">
        <v>5</v>
      </c>
      <c r="K34">
        <v>5</v>
      </c>
      <c r="M34" t="s">
        <v>7</v>
      </c>
    </row>
    <row r="35" spans="2:14" x14ac:dyDescent="0.55000000000000004">
      <c r="B35">
        <v>67</v>
      </c>
      <c r="C35" t="s">
        <v>18</v>
      </c>
      <c r="D35" t="s">
        <v>127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M35" t="s">
        <v>7</v>
      </c>
    </row>
    <row r="36" spans="2:14" x14ac:dyDescent="0.55000000000000004">
      <c r="B36">
        <v>69</v>
      </c>
      <c r="C36" t="s">
        <v>18</v>
      </c>
      <c r="D36" t="s">
        <v>95</v>
      </c>
      <c r="E36">
        <v>4</v>
      </c>
      <c r="F36">
        <v>4</v>
      </c>
      <c r="G36">
        <v>3</v>
      </c>
      <c r="H36">
        <v>3</v>
      </c>
      <c r="I36">
        <v>5</v>
      </c>
      <c r="J36">
        <v>5</v>
      </c>
      <c r="M36" t="s">
        <v>7</v>
      </c>
    </row>
    <row r="37" spans="2:14" x14ac:dyDescent="0.55000000000000004">
      <c r="B37">
        <v>71</v>
      </c>
      <c r="C37" t="s">
        <v>18</v>
      </c>
      <c r="D37" t="s">
        <v>141</v>
      </c>
      <c r="E37">
        <v>4</v>
      </c>
      <c r="F37">
        <v>4</v>
      </c>
      <c r="G37">
        <v>4</v>
      </c>
      <c r="H37">
        <v>4</v>
      </c>
      <c r="I37">
        <v>5</v>
      </c>
      <c r="J37">
        <v>5</v>
      </c>
      <c r="M37" t="s">
        <v>7</v>
      </c>
    </row>
    <row r="38" spans="2:14" x14ac:dyDescent="0.55000000000000004">
      <c r="B38">
        <v>72</v>
      </c>
      <c r="C38" t="s">
        <v>116</v>
      </c>
      <c r="D38" t="s">
        <v>107</v>
      </c>
      <c r="E38">
        <v>4</v>
      </c>
      <c r="F38">
        <v>3</v>
      </c>
      <c r="G38">
        <v>3</v>
      </c>
      <c r="H38">
        <v>3</v>
      </c>
      <c r="I38">
        <v>5</v>
      </c>
      <c r="J38">
        <v>5</v>
      </c>
      <c r="M38" t="s">
        <v>7</v>
      </c>
    </row>
    <row r="39" spans="2:14" x14ac:dyDescent="0.55000000000000004">
      <c r="B39">
        <v>73</v>
      </c>
      <c r="C39" t="s">
        <v>123</v>
      </c>
      <c r="D39" t="s">
        <v>119</v>
      </c>
      <c r="E39">
        <v>4</v>
      </c>
      <c r="F39">
        <v>3</v>
      </c>
      <c r="G39">
        <v>3</v>
      </c>
      <c r="H39">
        <v>3</v>
      </c>
      <c r="I39">
        <v>5</v>
      </c>
      <c r="J39">
        <v>5</v>
      </c>
      <c r="L39" t="s">
        <v>124</v>
      </c>
      <c r="M39" t="s">
        <v>7</v>
      </c>
    </row>
    <row r="40" spans="2:14" x14ac:dyDescent="0.55000000000000004">
      <c r="B40">
        <v>77</v>
      </c>
      <c r="C40" t="s">
        <v>96</v>
      </c>
      <c r="D40" t="s">
        <v>97</v>
      </c>
      <c r="E40">
        <v>4</v>
      </c>
      <c r="I40">
        <v>5</v>
      </c>
      <c r="J40">
        <v>5</v>
      </c>
      <c r="M40" t="s">
        <v>7</v>
      </c>
    </row>
    <row r="41" spans="2:14" x14ac:dyDescent="0.55000000000000004">
      <c r="B41">
        <v>78</v>
      </c>
      <c r="C41" t="s">
        <v>96</v>
      </c>
      <c r="D41" t="s">
        <v>98</v>
      </c>
      <c r="E41">
        <v>4</v>
      </c>
      <c r="I41">
        <v>5</v>
      </c>
      <c r="J41">
        <v>5</v>
      </c>
      <c r="M41" t="s">
        <v>7</v>
      </c>
    </row>
    <row r="42" spans="2:14" x14ac:dyDescent="0.55000000000000004">
      <c r="B42">
        <v>83</v>
      </c>
      <c r="C42" t="s">
        <v>99</v>
      </c>
      <c r="D42" t="s">
        <v>136</v>
      </c>
      <c r="E42">
        <v>5</v>
      </c>
      <c r="F42">
        <v>5</v>
      </c>
      <c r="G42">
        <v>4</v>
      </c>
      <c r="H42">
        <v>4</v>
      </c>
      <c r="I42">
        <v>5</v>
      </c>
      <c r="J42">
        <v>5</v>
      </c>
      <c r="M42" t="s">
        <v>7</v>
      </c>
    </row>
    <row r="43" spans="2:14" x14ac:dyDescent="0.55000000000000004">
      <c r="B43">
        <v>84</v>
      </c>
      <c r="C43" t="s">
        <v>99</v>
      </c>
      <c r="D43" t="s">
        <v>100</v>
      </c>
      <c r="E43">
        <v>4</v>
      </c>
      <c r="F43">
        <v>3</v>
      </c>
      <c r="G43">
        <v>3</v>
      </c>
      <c r="H43">
        <v>3</v>
      </c>
      <c r="I43">
        <v>5</v>
      </c>
      <c r="J43">
        <v>5</v>
      </c>
      <c r="M43" t="s">
        <v>7</v>
      </c>
    </row>
    <row r="44" spans="2:14" x14ac:dyDescent="0.55000000000000004">
      <c r="B44">
        <v>85</v>
      </c>
      <c r="C44" t="s">
        <v>99</v>
      </c>
      <c r="D44" t="s">
        <v>137</v>
      </c>
      <c r="E44">
        <v>5</v>
      </c>
      <c r="F44">
        <v>5</v>
      </c>
      <c r="G44">
        <v>4</v>
      </c>
      <c r="H44">
        <v>4</v>
      </c>
      <c r="I44">
        <v>5</v>
      </c>
      <c r="J44">
        <v>5</v>
      </c>
      <c r="L44" t="s">
        <v>138</v>
      </c>
      <c r="M44" t="s">
        <v>7</v>
      </c>
    </row>
    <row r="45" spans="2:14" x14ac:dyDescent="0.55000000000000004">
      <c r="B45">
        <v>86</v>
      </c>
      <c r="C45" t="s">
        <v>129</v>
      </c>
      <c r="D45" t="s">
        <v>130</v>
      </c>
      <c r="E45">
        <v>4</v>
      </c>
      <c r="F45">
        <v>4</v>
      </c>
      <c r="G45">
        <v>4</v>
      </c>
      <c r="H45">
        <v>4</v>
      </c>
      <c r="I45">
        <v>5</v>
      </c>
      <c r="J45">
        <v>5</v>
      </c>
      <c r="M45" t="s">
        <v>7</v>
      </c>
    </row>
    <row r="46" spans="2:14" x14ac:dyDescent="0.55000000000000004">
      <c r="B46">
        <v>87</v>
      </c>
      <c r="C46" t="s">
        <v>129</v>
      </c>
      <c r="D46" t="s">
        <v>131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M46" t="s">
        <v>7</v>
      </c>
    </row>
    <row r="47" spans="2:14" x14ac:dyDescent="0.55000000000000004">
      <c r="B47">
        <v>88</v>
      </c>
      <c r="C47" t="s">
        <v>129</v>
      </c>
      <c r="D47" t="s">
        <v>132</v>
      </c>
      <c r="E47">
        <v>4</v>
      </c>
      <c r="F47">
        <v>4</v>
      </c>
      <c r="G47">
        <v>4</v>
      </c>
      <c r="H47">
        <v>3</v>
      </c>
      <c r="I47">
        <v>5</v>
      </c>
      <c r="J47">
        <v>5</v>
      </c>
      <c r="M47" t="s">
        <v>7</v>
      </c>
    </row>
    <row r="48" spans="2:14" x14ac:dyDescent="0.55000000000000004">
      <c r="B48" s="1"/>
      <c r="C48" s="1"/>
      <c r="D48" s="1"/>
      <c r="E48" s="1" t="str">
        <f>"火晶は"&amp;COUNTIF(テーブル323[火晶],1)+COUNTIF(テーブル323[火晶],2)+COUNTIF(テーブル323[火晶],3)+COUNTIF(テーブル323[火晶],4)+COUNTIF(テーブル323[火晶],5)&amp;"人"</f>
        <v>火晶は45人</v>
      </c>
      <c r="F48" s="1" t="str">
        <f>"盾火晶5は"&amp;COUNTIF(テーブル323[盾],5)&amp;"人"</f>
        <v>盾火晶5は10人</v>
      </c>
      <c r="G48" s="1"/>
      <c r="H48" s="1"/>
      <c r="I48" s="1"/>
      <c r="J48" s="1"/>
      <c r="K48" s="1"/>
      <c r="L48" s="1"/>
      <c r="M48" s="1"/>
      <c r="N48" s="7"/>
    </row>
    <row r="50" spans="3:12" x14ac:dyDescent="0.55000000000000004">
      <c r="C50" s="5"/>
      <c r="D50" s="5" t="s">
        <v>101</v>
      </c>
      <c r="E50" s="4" t="s">
        <v>102</v>
      </c>
      <c r="F50" s="8" t="s">
        <v>103</v>
      </c>
      <c r="G50" s="8"/>
      <c r="H50" s="4"/>
      <c r="I50" s="4" t="s">
        <v>104</v>
      </c>
      <c r="J50" s="4" t="s">
        <v>106</v>
      </c>
      <c r="K50" s="4" t="s">
        <v>106</v>
      </c>
      <c r="L50" s="4" t="s">
        <v>105</v>
      </c>
    </row>
    <row r="51" spans="3:12" x14ac:dyDescent="0.55000000000000004">
      <c r="C51" s="4" t="s">
        <v>7</v>
      </c>
      <c r="D51" s="4">
        <v>47</v>
      </c>
      <c r="E51" s="4">
        <f>COUNTIF(テーブル323[同盟],"MMC")</f>
        <v>6</v>
      </c>
      <c r="F51" s="4">
        <f>COUNTIF(テーブル323[移籍先],"MMC")-COUNTIF(テーブル323[同盟],"MMC")</f>
        <v>19</v>
      </c>
      <c r="G51" s="4"/>
      <c r="H51" s="4"/>
      <c r="I51" s="4">
        <f>COUNTIFS(テーブル323[移籍先],"MMC",テーブル323[盾],"5")</f>
        <v>6</v>
      </c>
      <c r="J51" s="4">
        <f>COUNTIFS(テーブル323[移籍先],"MMC",テーブル323[槍],"5")</f>
        <v>3</v>
      </c>
      <c r="K51" s="4">
        <f>COUNTIFS(テーブル323[列1],"MMC",テーブル323[弓],"5")</f>
        <v>0</v>
      </c>
      <c r="L51" s="4">
        <f>COUNTIFS(テーブル323[移籍先],"MMC",テーブル323[弓],"5")</f>
        <v>4</v>
      </c>
    </row>
    <row r="52" spans="3:12" x14ac:dyDescent="0.55000000000000004">
      <c r="C52" s="4" t="s">
        <v>35</v>
      </c>
      <c r="D52" s="4">
        <v>33</v>
      </c>
      <c r="E52" s="4">
        <f>COUNTIF(テーブル323[同盟],"KFC")</f>
        <v>14</v>
      </c>
      <c r="F52" s="4">
        <f>COUNTIF(テーブル323[移籍先],"KFC")-COUNTIF(テーブル323[同盟],"KFC")</f>
        <v>6</v>
      </c>
      <c r="G52" s="4"/>
      <c r="H52" s="4"/>
      <c r="I52" s="4">
        <f>COUNTIFS(テーブル323[移籍先],"KFC",テーブル323[盾],"5")</f>
        <v>4</v>
      </c>
      <c r="J52" s="4">
        <f>COUNTIFS(テーブル323[移籍先],"KFC",テーブル323[槍],"5")</f>
        <v>3</v>
      </c>
      <c r="K52" s="4"/>
      <c r="L52" s="4">
        <f>COUNTIFS(テーブル323[移籍先],"KFC",テーブル323[弓],"5")</f>
        <v>4</v>
      </c>
    </row>
    <row r="53" spans="3:12" x14ac:dyDescent="0.55000000000000004">
      <c r="C53" s="4" t="s">
        <v>18</v>
      </c>
      <c r="D53" s="4">
        <v>30</v>
      </c>
      <c r="E53" s="4">
        <f>COUNTIF(テーブル323[同盟],"rlx")</f>
        <v>7</v>
      </c>
      <c r="F53" s="4"/>
      <c r="G53" s="4"/>
      <c r="H53" s="4"/>
      <c r="I53" s="4"/>
      <c r="J53" s="4"/>
      <c r="K53" s="4"/>
      <c r="L53" s="4"/>
    </row>
    <row r="54" spans="3:12" x14ac:dyDescent="0.55000000000000004">
      <c r="C54" s="4" t="s">
        <v>99</v>
      </c>
      <c r="D54" s="4">
        <v>45</v>
      </c>
      <c r="E54" s="4">
        <f>COUNTIF(テーブル323[同盟],"Ris")</f>
        <v>3</v>
      </c>
      <c r="F54" s="4"/>
      <c r="G54" s="4"/>
      <c r="H54" s="4"/>
      <c r="I54" s="4"/>
      <c r="J54" s="4"/>
      <c r="K54" s="4"/>
      <c r="L54" s="4"/>
    </row>
    <row r="55" spans="3:12" x14ac:dyDescent="0.55000000000000004">
      <c r="C55" s="4" t="s">
        <v>87</v>
      </c>
      <c r="D55" s="4">
        <v>35</v>
      </c>
      <c r="E55" s="4">
        <f>COUNTIF(テーブル323[同盟],"wan")</f>
        <v>5</v>
      </c>
      <c r="F55" s="4"/>
      <c r="G55" s="4"/>
      <c r="H55" s="4"/>
      <c r="I55" s="4"/>
      <c r="J55" s="4"/>
      <c r="K55" s="4"/>
      <c r="L55" s="4"/>
    </row>
  </sheetData>
  <mergeCells count="1">
    <mergeCell ref="F50:G50"/>
  </mergeCells>
  <phoneticPr fontId="1"/>
  <conditionalFormatting sqref="F29:H29 F25:H27 F31:H35 I9:J11 F3:H23 F38:H47">
    <cfRule type="cellIs" dxfId="14" priority="11" operator="greaterThanOrEqual">
      <formula>5</formula>
    </cfRule>
  </conditionalFormatting>
  <conditionalFormatting sqref="I30:J35 K9:L11 I3:J23 I38:J47">
    <cfRule type="cellIs" dxfId="13" priority="10" operator="lessThanOrEqual">
      <formula>4</formula>
    </cfRule>
  </conditionalFormatting>
  <conditionalFormatting sqref="I25:J26">
    <cfRule type="cellIs" dxfId="12" priority="6" operator="lessThanOrEqual">
      <formula>4</formula>
    </cfRule>
  </conditionalFormatting>
  <conditionalFormatting sqref="I27:J28">
    <cfRule type="cellIs" dxfId="11" priority="5" operator="lessThanOrEqual">
      <formula>4</formula>
    </cfRule>
  </conditionalFormatting>
  <pageMargins left="0.7" right="0.7" top="0.75" bottom="0.75" header="0.3" footer="0.3"/>
  <pageSetup paperSize="9" scale="60" fitToWidth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6312-AAB3-4F2E-BB7D-355F83B0E4F2}">
  <sheetPr>
    <pageSetUpPr fitToPage="1"/>
  </sheetPr>
  <dimension ref="B1:X99"/>
  <sheetViews>
    <sheetView zoomScale="85" zoomScaleNormal="85" workbookViewId="0">
      <pane ySplit="2" topLeftCell="A43" activePane="bottomLeft" state="frozen"/>
      <selection pane="bottomLeft" activeCell="E59" sqref="E59:E68"/>
    </sheetView>
  </sheetViews>
  <sheetFormatPr defaultRowHeight="18" x14ac:dyDescent="0.55000000000000004"/>
  <cols>
    <col min="3" max="3" width="8.25" customWidth="1"/>
    <col min="4" max="4" width="16.58203125" customWidth="1"/>
    <col min="5" max="5" width="10.08203125" customWidth="1"/>
    <col min="6" max="8" width="6.58203125" customWidth="1"/>
    <col min="9" max="10" width="14.1640625" customWidth="1"/>
    <col min="11" max="11" width="14.1640625" hidden="1" customWidth="1"/>
    <col min="12" max="12" width="18" customWidth="1"/>
  </cols>
  <sheetData>
    <row r="1" spans="2:14" x14ac:dyDescent="0.55000000000000004">
      <c r="B1" t="s">
        <v>108</v>
      </c>
    </row>
    <row r="2" spans="2:14" x14ac:dyDescent="0.55000000000000004">
      <c r="B2" s="2" t="s">
        <v>36</v>
      </c>
      <c r="C2" s="2" t="s">
        <v>5</v>
      </c>
      <c r="D2" s="2" t="s">
        <v>6</v>
      </c>
      <c r="E2" s="2" t="s">
        <v>53</v>
      </c>
      <c r="F2" s="2" t="s">
        <v>46</v>
      </c>
      <c r="G2" s="2" t="s">
        <v>47</v>
      </c>
      <c r="H2" s="2" t="s">
        <v>48</v>
      </c>
      <c r="I2" s="2" t="s">
        <v>2</v>
      </c>
      <c r="J2" s="2" t="s">
        <v>3</v>
      </c>
      <c r="K2" s="2" t="s">
        <v>4</v>
      </c>
      <c r="L2" s="2" t="s">
        <v>29</v>
      </c>
      <c r="M2" s="2" t="s">
        <v>30</v>
      </c>
      <c r="N2" s="2" t="s">
        <v>144</v>
      </c>
    </row>
    <row r="3" spans="2:14" x14ac:dyDescent="0.55000000000000004">
      <c r="B3">
        <v>1</v>
      </c>
      <c r="C3" t="s">
        <v>7</v>
      </c>
      <c r="D3" t="s">
        <v>8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M3" t="s">
        <v>85</v>
      </c>
    </row>
    <row r="4" spans="2:14" x14ac:dyDescent="0.55000000000000004">
      <c r="B4">
        <v>2</v>
      </c>
      <c r="C4" t="s">
        <v>7</v>
      </c>
      <c r="D4" t="s">
        <v>9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M4" t="s">
        <v>85</v>
      </c>
    </row>
    <row r="5" spans="2:14" x14ac:dyDescent="0.55000000000000004">
      <c r="B5">
        <v>3</v>
      </c>
      <c r="C5" t="s">
        <v>7</v>
      </c>
      <c r="D5" t="s">
        <v>10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M5" t="s">
        <v>85</v>
      </c>
    </row>
    <row r="6" spans="2:14" x14ac:dyDescent="0.55000000000000004">
      <c r="B6">
        <v>4</v>
      </c>
      <c r="C6" t="s">
        <v>7</v>
      </c>
      <c r="D6" t="s">
        <v>12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M6" t="s">
        <v>7</v>
      </c>
    </row>
    <row r="7" spans="2:14" x14ac:dyDescent="0.55000000000000004">
      <c r="B7">
        <v>5</v>
      </c>
      <c r="C7" t="s">
        <v>7</v>
      </c>
      <c r="D7" t="s">
        <v>11</v>
      </c>
      <c r="E7">
        <v>4</v>
      </c>
      <c r="F7">
        <v>4</v>
      </c>
      <c r="G7">
        <v>3</v>
      </c>
      <c r="H7">
        <v>3</v>
      </c>
      <c r="I7">
        <v>5</v>
      </c>
      <c r="J7">
        <v>5</v>
      </c>
      <c r="L7" t="s">
        <v>50</v>
      </c>
      <c r="M7" t="s">
        <v>7</v>
      </c>
    </row>
    <row r="8" spans="2:14" x14ac:dyDescent="0.55000000000000004">
      <c r="B8">
        <v>6</v>
      </c>
      <c r="C8" t="s">
        <v>7</v>
      </c>
      <c r="D8" t="s">
        <v>28</v>
      </c>
      <c r="E8">
        <v>4</v>
      </c>
      <c r="F8">
        <v>4</v>
      </c>
      <c r="G8">
        <v>4</v>
      </c>
      <c r="H8">
        <v>4</v>
      </c>
      <c r="I8">
        <v>5</v>
      </c>
      <c r="J8">
        <v>5</v>
      </c>
      <c r="M8" t="s">
        <v>7</v>
      </c>
    </row>
    <row r="9" spans="2:14" hidden="1" x14ac:dyDescent="0.55000000000000004">
      <c r="B9">
        <v>7</v>
      </c>
      <c r="C9" t="s">
        <v>7</v>
      </c>
      <c r="D9" t="s">
        <v>37</v>
      </c>
      <c r="E9">
        <v>3</v>
      </c>
      <c r="F9">
        <v>3</v>
      </c>
      <c r="G9">
        <v>3</v>
      </c>
      <c r="H9">
        <v>3</v>
      </c>
      <c r="I9">
        <v>5</v>
      </c>
      <c r="J9">
        <v>5</v>
      </c>
      <c r="M9" t="s">
        <v>7</v>
      </c>
    </row>
    <row r="10" spans="2:14" hidden="1" x14ac:dyDescent="0.55000000000000004">
      <c r="B10">
        <v>8</v>
      </c>
      <c r="C10" t="s">
        <v>7</v>
      </c>
      <c r="D10" t="s">
        <v>38</v>
      </c>
      <c r="E10">
        <v>3</v>
      </c>
      <c r="F10">
        <v>3</v>
      </c>
      <c r="G10">
        <v>3</v>
      </c>
      <c r="H10">
        <v>3</v>
      </c>
      <c r="I10">
        <v>5</v>
      </c>
      <c r="J10">
        <v>5</v>
      </c>
      <c r="L10" t="s">
        <v>49</v>
      </c>
      <c r="M10" t="s">
        <v>7</v>
      </c>
    </row>
    <row r="11" spans="2:14" x14ac:dyDescent="0.55000000000000004">
      <c r="B11">
        <v>9</v>
      </c>
      <c r="C11" t="s">
        <v>7</v>
      </c>
      <c r="D11" t="s">
        <v>39</v>
      </c>
      <c r="E11">
        <v>4</v>
      </c>
      <c r="F11">
        <v>3</v>
      </c>
      <c r="G11">
        <v>4</v>
      </c>
      <c r="H11">
        <v>3</v>
      </c>
      <c r="I11">
        <v>5</v>
      </c>
      <c r="J11">
        <v>5</v>
      </c>
      <c r="L11" t="s">
        <v>51</v>
      </c>
      <c r="M11" t="s">
        <v>7</v>
      </c>
    </row>
    <row r="12" spans="2:14" hidden="1" x14ac:dyDescent="0.55000000000000004">
      <c r="B12">
        <v>10</v>
      </c>
      <c r="C12" t="s">
        <v>7</v>
      </c>
      <c r="D12" t="s">
        <v>27</v>
      </c>
      <c r="E12">
        <v>3</v>
      </c>
      <c r="F12">
        <v>2</v>
      </c>
      <c r="G12">
        <v>2</v>
      </c>
      <c r="H12">
        <v>3</v>
      </c>
      <c r="I12">
        <v>5</v>
      </c>
      <c r="J12">
        <v>5</v>
      </c>
      <c r="L12" t="s">
        <v>86</v>
      </c>
      <c r="M12" t="s">
        <v>7</v>
      </c>
    </row>
    <row r="13" spans="2:14" x14ac:dyDescent="0.55000000000000004">
      <c r="B13">
        <v>11</v>
      </c>
      <c r="C13" t="s">
        <v>7</v>
      </c>
      <c r="D13" t="s">
        <v>13</v>
      </c>
      <c r="E13">
        <v>5</v>
      </c>
      <c r="F13">
        <v>5</v>
      </c>
      <c r="G13">
        <v>4</v>
      </c>
      <c r="H13">
        <v>5</v>
      </c>
      <c r="I13">
        <v>5</v>
      </c>
      <c r="J13">
        <v>5</v>
      </c>
      <c r="L13" t="s">
        <v>55</v>
      </c>
      <c r="M13" t="s">
        <v>7</v>
      </c>
    </row>
    <row r="14" spans="2:14" hidden="1" x14ac:dyDescent="0.55000000000000004">
      <c r="B14">
        <v>12</v>
      </c>
      <c r="C14" t="s">
        <v>7</v>
      </c>
      <c r="D14" t="s">
        <v>26</v>
      </c>
      <c r="E14">
        <v>3</v>
      </c>
      <c r="F14">
        <v>3</v>
      </c>
      <c r="G14">
        <v>2</v>
      </c>
      <c r="H14">
        <v>3</v>
      </c>
      <c r="I14">
        <v>5</v>
      </c>
      <c r="J14">
        <v>5</v>
      </c>
      <c r="M14" t="s">
        <v>7</v>
      </c>
    </row>
    <row r="15" spans="2:14" hidden="1" x14ac:dyDescent="0.55000000000000004">
      <c r="B15">
        <v>13</v>
      </c>
      <c r="C15" t="s">
        <v>7</v>
      </c>
      <c r="D15" t="s">
        <v>24</v>
      </c>
      <c r="E15">
        <v>3</v>
      </c>
      <c r="F15">
        <v>3</v>
      </c>
      <c r="G15">
        <v>3</v>
      </c>
      <c r="H15">
        <v>3</v>
      </c>
      <c r="I15">
        <v>5</v>
      </c>
      <c r="J15">
        <v>5</v>
      </c>
      <c r="M15" t="s">
        <v>7</v>
      </c>
    </row>
    <row r="16" spans="2:14" hidden="1" x14ac:dyDescent="0.55000000000000004">
      <c r="B16">
        <v>14</v>
      </c>
      <c r="C16" t="s">
        <v>7</v>
      </c>
      <c r="D16" t="s">
        <v>22</v>
      </c>
      <c r="E16">
        <v>3</v>
      </c>
      <c r="F16">
        <v>3</v>
      </c>
      <c r="G16">
        <v>3</v>
      </c>
      <c r="H16">
        <v>3</v>
      </c>
      <c r="I16">
        <v>5</v>
      </c>
      <c r="J16">
        <v>5</v>
      </c>
      <c r="M16" t="s">
        <v>7</v>
      </c>
    </row>
    <row r="17" spans="2:13" hidden="1" x14ac:dyDescent="0.55000000000000004">
      <c r="B17">
        <v>15</v>
      </c>
      <c r="C17" t="s">
        <v>7</v>
      </c>
      <c r="D17" t="s">
        <v>19</v>
      </c>
      <c r="E17">
        <v>3</v>
      </c>
      <c r="F17">
        <v>3</v>
      </c>
      <c r="G17">
        <v>3</v>
      </c>
      <c r="H17">
        <v>3</v>
      </c>
      <c r="I17">
        <v>5</v>
      </c>
      <c r="J17">
        <v>5</v>
      </c>
      <c r="M17" t="s">
        <v>7</v>
      </c>
    </row>
    <row r="18" spans="2:13" x14ac:dyDescent="0.55000000000000004">
      <c r="B18">
        <v>16</v>
      </c>
      <c r="C18" t="s">
        <v>7</v>
      </c>
      <c r="D18" t="s">
        <v>20</v>
      </c>
      <c r="E18">
        <v>4</v>
      </c>
      <c r="F18">
        <v>3</v>
      </c>
      <c r="G18">
        <v>3</v>
      </c>
      <c r="H18">
        <v>3</v>
      </c>
      <c r="I18">
        <v>5</v>
      </c>
      <c r="J18">
        <v>5</v>
      </c>
      <c r="M18" t="s">
        <v>7</v>
      </c>
    </row>
    <row r="19" spans="2:13" hidden="1" x14ac:dyDescent="0.55000000000000004">
      <c r="B19">
        <v>17</v>
      </c>
      <c r="C19" t="s">
        <v>7</v>
      </c>
      <c r="D19" t="s">
        <v>40</v>
      </c>
      <c r="E19">
        <v>3</v>
      </c>
      <c r="F19">
        <v>2</v>
      </c>
      <c r="G19">
        <v>3</v>
      </c>
      <c r="H19">
        <v>2</v>
      </c>
      <c r="I19">
        <v>5</v>
      </c>
      <c r="J19">
        <v>5</v>
      </c>
      <c r="L19" t="s">
        <v>63</v>
      </c>
      <c r="M19" t="s">
        <v>7</v>
      </c>
    </row>
    <row r="20" spans="2:13" hidden="1" x14ac:dyDescent="0.55000000000000004">
      <c r="B20">
        <v>18</v>
      </c>
      <c r="C20" t="s">
        <v>7</v>
      </c>
      <c r="D20" t="s">
        <v>41</v>
      </c>
      <c r="E20">
        <v>3</v>
      </c>
      <c r="F20">
        <v>2</v>
      </c>
      <c r="G20">
        <v>2</v>
      </c>
      <c r="H20">
        <v>2</v>
      </c>
      <c r="I20">
        <v>5</v>
      </c>
      <c r="J20">
        <v>5</v>
      </c>
      <c r="M20" t="s">
        <v>7</v>
      </c>
    </row>
    <row r="21" spans="2:13" x14ac:dyDescent="0.55000000000000004">
      <c r="B21">
        <v>19</v>
      </c>
      <c r="C21" t="s">
        <v>7</v>
      </c>
      <c r="D21" t="s">
        <v>23</v>
      </c>
      <c r="E21">
        <v>4</v>
      </c>
      <c r="F21">
        <v>3</v>
      </c>
      <c r="G21">
        <v>3</v>
      </c>
      <c r="H21">
        <v>3</v>
      </c>
      <c r="I21">
        <v>5</v>
      </c>
      <c r="J21">
        <v>5</v>
      </c>
      <c r="M21" t="s">
        <v>7</v>
      </c>
    </row>
    <row r="22" spans="2:13" hidden="1" x14ac:dyDescent="0.55000000000000004">
      <c r="B22">
        <v>20</v>
      </c>
      <c r="C22" t="s">
        <v>7</v>
      </c>
      <c r="D22" t="s">
        <v>52</v>
      </c>
      <c r="E22">
        <v>2</v>
      </c>
      <c r="F22">
        <v>2</v>
      </c>
      <c r="G22">
        <v>2</v>
      </c>
      <c r="H22">
        <v>2</v>
      </c>
      <c r="I22">
        <v>5</v>
      </c>
      <c r="J22">
        <v>5</v>
      </c>
      <c r="L22" t="s">
        <v>49</v>
      </c>
      <c r="M22" t="s">
        <v>7</v>
      </c>
    </row>
    <row r="23" spans="2:13" hidden="1" x14ac:dyDescent="0.55000000000000004">
      <c r="B23">
        <v>21</v>
      </c>
      <c r="C23" t="s">
        <v>7</v>
      </c>
      <c r="D23" t="s">
        <v>25</v>
      </c>
      <c r="E23">
        <v>3</v>
      </c>
      <c r="F23">
        <v>3</v>
      </c>
      <c r="G23">
        <v>2</v>
      </c>
      <c r="H23">
        <v>2</v>
      </c>
      <c r="I23">
        <v>5</v>
      </c>
      <c r="J23">
        <v>5</v>
      </c>
      <c r="L23" t="s">
        <v>60</v>
      </c>
      <c r="M23" t="s">
        <v>7</v>
      </c>
    </row>
    <row r="24" spans="2:13" hidden="1" x14ac:dyDescent="0.55000000000000004">
      <c r="B24">
        <v>22</v>
      </c>
      <c r="C24" t="s">
        <v>7</v>
      </c>
      <c r="D24" t="s">
        <v>42</v>
      </c>
      <c r="E24">
        <v>3</v>
      </c>
      <c r="F24">
        <v>3</v>
      </c>
      <c r="G24">
        <v>2</v>
      </c>
      <c r="H24">
        <v>3</v>
      </c>
      <c r="I24">
        <v>5</v>
      </c>
      <c r="J24">
        <v>5</v>
      </c>
      <c r="L24" t="s">
        <v>91</v>
      </c>
      <c r="M24" t="s">
        <v>7</v>
      </c>
    </row>
    <row r="25" spans="2:13" hidden="1" x14ac:dyDescent="0.55000000000000004">
      <c r="B25">
        <v>23</v>
      </c>
      <c r="C25" t="s">
        <v>7</v>
      </c>
      <c r="D25" t="s">
        <v>21</v>
      </c>
      <c r="E25">
        <v>3</v>
      </c>
      <c r="F25">
        <v>3</v>
      </c>
      <c r="G25">
        <v>3</v>
      </c>
      <c r="H25">
        <v>3</v>
      </c>
      <c r="I25">
        <v>5</v>
      </c>
      <c r="J25">
        <v>5</v>
      </c>
      <c r="M25" t="s">
        <v>7</v>
      </c>
    </row>
    <row r="26" spans="2:13" hidden="1" x14ac:dyDescent="0.55000000000000004">
      <c r="B26">
        <v>24</v>
      </c>
      <c r="C26" t="s">
        <v>7</v>
      </c>
      <c r="D26" t="s">
        <v>43</v>
      </c>
      <c r="E26">
        <v>2</v>
      </c>
      <c r="F26">
        <v>2</v>
      </c>
      <c r="G26">
        <v>2</v>
      </c>
      <c r="H26">
        <v>2</v>
      </c>
      <c r="I26">
        <v>5</v>
      </c>
      <c r="J26">
        <v>5</v>
      </c>
      <c r="M26" t="s">
        <v>7</v>
      </c>
    </row>
    <row r="27" spans="2:13" hidden="1" x14ac:dyDescent="0.55000000000000004">
      <c r="B27">
        <v>25</v>
      </c>
      <c r="C27" t="s">
        <v>7</v>
      </c>
      <c r="D27" t="s">
        <v>44</v>
      </c>
      <c r="E27">
        <v>2</v>
      </c>
      <c r="F27">
        <v>2</v>
      </c>
      <c r="G27">
        <v>2</v>
      </c>
      <c r="H27">
        <v>2</v>
      </c>
      <c r="I27">
        <v>5</v>
      </c>
      <c r="J27">
        <v>5</v>
      </c>
      <c r="M27" t="s">
        <v>7</v>
      </c>
    </row>
    <row r="28" spans="2:13" hidden="1" x14ac:dyDescent="0.55000000000000004">
      <c r="B28">
        <v>26</v>
      </c>
      <c r="C28" t="s">
        <v>7</v>
      </c>
      <c r="D28" t="s">
        <v>45</v>
      </c>
      <c r="E28">
        <v>2</v>
      </c>
      <c r="F28">
        <v>2</v>
      </c>
      <c r="G28">
        <v>1</v>
      </c>
      <c r="H28">
        <v>1</v>
      </c>
      <c r="I28">
        <v>5</v>
      </c>
      <c r="J28">
        <v>5</v>
      </c>
      <c r="M28" t="s">
        <v>7</v>
      </c>
    </row>
    <row r="29" spans="2:13" x14ac:dyDescent="0.55000000000000004">
      <c r="B29">
        <v>27</v>
      </c>
      <c r="C29" t="s">
        <v>58</v>
      </c>
      <c r="D29" t="s">
        <v>64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M29" t="s">
        <v>59</v>
      </c>
    </row>
    <row r="30" spans="2:13" x14ac:dyDescent="0.55000000000000004">
      <c r="B30">
        <v>28</v>
      </c>
      <c r="C30" t="s">
        <v>58</v>
      </c>
      <c r="D30" t="s">
        <v>65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M30" t="s">
        <v>59</v>
      </c>
    </row>
    <row r="31" spans="2:13" x14ac:dyDescent="0.55000000000000004">
      <c r="B31">
        <v>29</v>
      </c>
      <c r="C31" t="s">
        <v>58</v>
      </c>
      <c r="D31" t="s">
        <v>66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M31" t="s">
        <v>59</v>
      </c>
    </row>
    <row r="32" spans="2:13" x14ac:dyDescent="0.55000000000000004">
      <c r="B32">
        <v>30</v>
      </c>
      <c r="C32" t="s">
        <v>58</v>
      </c>
      <c r="D32" t="s">
        <v>67</v>
      </c>
      <c r="E32">
        <v>5</v>
      </c>
      <c r="F32">
        <v>5</v>
      </c>
      <c r="G32">
        <v>4</v>
      </c>
      <c r="H32">
        <v>5</v>
      </c>
      <c r="I32">
        <v>5</v>
      </c>
      <c r="J32">
        <v>5</v>
      </c>
      <c r="L32" t="s">
        <v>61</v>
      </c>
      <c r="M32" t="s">
        <v>59</v>
      </c>
    </row>
    <row r="33" spans="2:13" x14ac:dyDescent="0.55000000000000004">
      <c r="B33">
        <v>31</v>
      </c>
      <c r="C33" t="s">
        <v>58</v>
      </c>
      <c r="D33" t="s">
        <v>68</v>
      </c>
      <c r="E33">
        <v>4</v>
      </c>
      <c r="F33">
        <v>4</v>
      </c>
      <c r="G33">
        <v>4</v>
      </c>
      <c r="H33">
        <v>4</v>
      </c>
      <c r="I33">
        <v>5</v>
      </c>
      <c r="J33">
        <v>5</v>
      </c>
      <c r="M33" t="s">
        <v>59</v>
      </c>
    </row>
    <row r="34" spans="2:13" x14ac:dyDescent="0.55000000000000004">
      <c r="B34">
        <v>32</v>
      </c>
      <c r="C34" t="s">
        <v>58</v>
      </c>
      <c r="D34" t="s">
        <v>62</v>
      </c>
      <c r="E34">
        <v>4</v>
      </c>
      <c r="F34">
        <v>4</v>
      </c>
      <c r="G34">
        <v>4</v>
      </c>
      <c r="H34">
        <v>4</v>
      </c>
      <c r="I34">
        <v>5</v>
      </c>
      <c r="J34">
        <v>5</v>
      </c>
      <c r="M34" t="s">
        <v>59</v>
      </c>
    </row>
    <row r="35" spans="2:13" x14ac:dyDescent="0.55000000000000004">
      <c r="B35">
        <v>33</v>
      </c>
      <c r="C35" t="s">
        <v>58</v>
      </c>
      <c r="D35" s="6">
        <v>110</v>
      </c>
      <c r="E35">
        <v>4</v>
      </c>
      <c r="F35">
        <v>4</v>
      </c>
      <c r="G35">
        <v>4</v>
      </c>
      <c r="H35">
        <v>4</v>
      </c>
      <c r="I35">
        <v>5</v>
      </c>
      <c r="J35">
        <v>5</v>
      </c>
      <c r="M35" t="s">
        <v>59</v>
      </c>
    </row>
    <row r="36" spans="2:13" x14ac:dyDescent="0.55000000000000004">
      <c r="B36">
        <v>34</v>
      </c>
      <c r="C36" t="s">
        <v>58</v>
      </c>
      <c r="D36" t="s">
        <v>69</v>
      </c>
      <c r="E36">
        <v>4</v>
      </c>
      <c r="F36">
        <v>4</v>
      </c>
      <c r="G36">
        <v>3</v>
      </c>
      <c r="H36">
        <v>3</v>
      </c>
      <c r="I36">
        <v>5</v>
      </c>
      <c r="J36">
        <v>5</v>
      </c>
      <c r="M36" t="s">
        <v>59</v>
      </c>
    </row>
    <row r="37" spans="2:13" x14ac:dyDescent="0.55000000000000004">
      <c r="B37">
        <v>35</v>
      </c>
      <c r="C37" t="s">
        <v>58</v>
      </c>
      <c r="D37" t="s">
        <v>70</v>
      </c>
      <c r="E37">
        <v>4</v>
      </c>
      <c r="F37">
        <v>4</v>
      </c>
      <c r="G37">
        <v>4</v>
      </c>
      <c r="H37">
        <v>4</v>
      </c>
      <c r="I37">
        <v>5</v>
      </c>
      <c r="J37">
        <v>5</v>
      </c>
      <c r="L37" t="s">
        <v>51</v>
      </c>
      <c r="M37" t="s">
        <v>59</v>
      </c>
    </row>
    <row r="38" spans="2:13" x14ac:dyDescent="0.55000000000000004">
      <c r="B38">
        <v>36</v>
      </c>
      <c r="C38" t="s">
        <v>58</v>
      </c>
      <c r="D38" t="s">
        <v>71</v>
      </c>
      <c r="E38">
        <v>4</v>
      </c>
      <c r="F38">
        <v>4</v>
      </c>
      <c r="G38">
        <v>3</v>
      </c>
      <c r="H38">
        <v>3</v>
      </c>
      <c r="I38">
        <v>5</v>
      </c>
      <c r="J38">
        <v>5</v>
      </c>
      <c r="M38" t="s">
        <v>59</v>
      </c>
    </row>
    <row r="39" spans="2:13" x14ac:dyDescent="0.55000000000000004">
      <c r="B39">
        <v>37</v>
      </c>
      <c r="C39" t="s">
        <v>58</v>
      </c>
      <c r="D39" t="s">
        <v>72</v>
      </c>
      <c r="E39">
        <v>4</v>
      </c>
      <c r="F39">
        <v>4</v>
      </c>
      <c r="G39">
        <v>4</v>
      </c>
      <c r="H39">
        <v>4</v>
      </c>
      <c r="I39">
        <v>5</v>
      </c>
      <c r="J39">
        <v>5</v>
      </c>
      <c r="M39" t="s">
        <v>59</v>
      </c>
    </row>
    <row r="40" spans="2:13" x14ac:dyDescent="0.55000000000000004">
      <c r="B40">
        <v>38</v>
      </c>
      <c r="C40" t="s">
        <v>58</v>
      </c>
      <c r="D40" t="s">
        <v>73</v>
      </c>
      <c r="E40">
        <v>4</v>
      </c>
      <c r="F40">
        <v>3</v>
      </c>
      <c r="G40">
        <v>2</v>
      </c>
      <c r="H40">
        <v>3</v>
      </c>
      <c r="I40">
        <v>5</v>
      </c>
      <c r="J40">
        <v>5</v>
      </c>
      <c r="M40" t="s">
        <v>59</v>
      </c>
    </row>
    <row r="41" spans="2:13" x14ac:dyDescent="0.55000000000000004">
      <c r="B41">
        <v>39</v>
      </c>
      <c r="C41" t="s">
        <v>58</v>
      </c>
      <c r="D41" t="s">
        <v>74</v>
      </c>
      <c r="E41">
        <v>4</v>
      </c>
      <c r="F41">
        <v>3</v>
      </c>
      <c r="G41">
        <v>3</v>
      </c>
      <c r="H41">
        <v>3</v>
      </c>
      <c r="I41">
        <v>5</v>
      </c>
      <c r="J41">
        <v>5</v>
      </c>
      <c r="M41" t="s">
        <v>59</v>
      </c>
    </row>
    <row r="42" spans="2:13" x14ac:dyDescent="0.55000000000000004">
      <c r="B42">
        <v>40</v>
      </c>
      <c r="C42" t="s">
        <v>58</v>
      </c>
      <c r="D42" t="s">
        <v>75</v>
      </c>
      <c r="E42">
        <v>4</v>
      </c>
      <c r="F42">
        <v>3</v>
      </c>
      <c r="G42">
        <v>3</v>
      </c>
      <c r="H42">
        <v>3</v>
      </c>
      <c r="I42">
        <v>5</v>
      </c>
      <c r="J42">
        <v>5</v>
      </c>
      <c r="M42" t="s">
        <v>59</v>
      </c>
    </row>
    <row r="43" spans="2:13" x14ac:dyDescent="0.55000000000000004">
      <c r="B43">
        <v>41</v>
      </c>
      <c r="C43" t="s">
        <v>58</v>
      </c>
      <c r="D43" t="s">
        <v>76</v>
      </c>
      <c r="E43">
        <v>4</v>
      </c>
      <c r="F43">
        <v>3</v>
      </c>
      <c r="G43">
        <v>4</v>
      </c>
      <c r="H43">
        <v>3</v>
      </c>
      <c r="I43">
        <v>5</v>
      </c>
      <c r="J43">
        <v>5</v>
      </c>
      <c r="L43" t="s">
        <v>63</v>
      </c>
      <c r="M43" t="s">
        <v>59</v>
      </c>
    </row>
    <row r="44" spans="2:13" x14ac:dyDescent="0.55000000000000004">
      <c r="B44">
        <v>42</v>
      </c>
      <c r="C44" t="s">
        <v>58</v>
      </c>
      <c r="D44" t="s">
        <v>111</v>
      </c>
      <c r="E44">
        <v>4</v>
      </c>
      <c r="F44">
        <v>3</v>
      </c>
      <c r="G44">
        <v>3</v>
      </c>
      <c r="H44">
        <v>3</v>
      </c>
      <c r="I44">
        <v>5</v>
      </c>
      <c r="J44">
        <v>5</v>
      </c>
      <c r="M44" t="s">
        <v>35</v>
      </c>
    </row>
    <row r="45" spans="2:13" hidden="1" x14ac:dyDescent="0.55000000000000004">
      <c r="B45">
        <v>43</v>
      </c>
      <c r="C45" t="s">
        <v>58</v>
      </c>
      <c r="D45" t="s">
        <v>77</v>
      </c>
      <c r="E45">
        <v>3</v>
      </c>
      <c r="F45">
        <v>3</v>
      </c>
      <c r="G45">
        <v>3</v>
      </c>
      <c r="H45">
        <v>3</v>
      </c>
      <c r="I45">
        <v>5</v>
      </c>
      <c r="J45">
        <v>5</v>
      </c>
      <c r="M45" t="s">
        <v>59</v>
      </c>
    </row>
    <row r="46" spans="2:13" hidden="1" x14ac:dyDescent="0.55000000000000004">
      <c r="B46">
        <v>44</v>
      </c>
      <c r="C46" t="s">
        <v>58</v>
      </c>
      <c r="D46" t="s">
        <v>78</v>
      </c>
      <c r="E46">
        <v>3</v>
      </c>
      <c r="F46">
        <v>3</v>
      </c>
      <c r="G46">
        <v>3</v>
      </c>
      <c r="H46">
        <v>3</v>
      </c>
      <c r="I46">
        <v>5</v>
      </c>
      <c r="J46">
        <v>5</v>
      </c>
      <c r="M46" t="s">
        <v>59</v>
      </c>
    </row>
    <row r="47" spans="2:13" hidden="1" x14ac:dyDescent="0.55000000000000004">
      <c r="B47">
        <v>45</v>
      </c>
      <c r="C47" t="s">
        <v>58</v>
      </c>
      <c r="D47" t="s">
        <v>79</v>
      </c>
      <c r="E47">
        <v>3</v>
      </c>
      <c r="F47">
        <v>3</v>
      </c>
      <c r="G47">
        <v>2</v>
      </c>
      <c r="H47">
        <v>3</v>
      </c>
      <c r="I47">
        <v>5</v>
      </c>
      <c r="J47">
        <v>5</v>
      </c>
      <c r="M47" t="s">
        <v>59</v>
      </c>
    </row>
    <row r="48" spans="2:13" hidden="1" x14ac:dyDescent="0.55000000000000004">
      <c r="B48">
        <v>46</v>
      </c>
      <c r="C48" t="s">
        <v>58</v>
      </c>
      <c r="D48" t="s">
        <v>80</v>
      </c>
      <c r="E48">
        <v>3</v>
      </c>
      <c r="F48">
        <v>2</v>
      </c>
      <c r="G48">
        <v>2</v>
      </c>
      <c r="H48">
        <v>3</v>
      </c>
      <c r="I48">
        <v>5</v>
      </c>
      <c r="J48">
        <v>5</v>
      </c>
      <c r="M48" t="s">
        <v>59</v>
      </c>
    </row>
    <row r="49" spans="2:24" hidden="1" x14ac:dyDescent="0.55000000000000004">
      <c r="B49">
        <v>47</v>
      </c>
      <c r="C49" t="s">
        <v>59</v>
      </c>
      <c r="D49" t="s">
        <v>81</v>
      </c>
      <c r="E49">
        <v>3</v>
      </c>
      <c r="F49">
        <v>3</v>
      </c>
      <c r="G49">
        <v>3</v>
      </c>
      <c r="H49">
        <v>3</v>
      </c>
      <c r="I49">
        <v>5</v>
      </c>
      <c r="J49">
        <v>5</v>
      </c>
      <c r="M49" t="s">
        <v>59</v>
      </c>
    </row>
    <row r="50" spans="2:24" hidden="1" x14ac:dyDescent="0.55000000000000004">
      <c r="B50">
        <v>48</v>
      </c>
      <c r="C50" t="s">
        <v>35</v>
      </c>
      <c r="D50" t="s">
        <v>112</v>
      </c>
      <c r="E50">
        <v>3</v>
      </c>
      <c r="F50">
        <v>3</v>
      </c>
      <c r="G50">
        <v>2</v>
      </c>
      <c r="H50">
        <v>2</v>
      </c>
      <c r="I50">
        <v>5</v>
      </c>
      <c r="J50">
        <v>5</v>
      </c>
      <c r="M50" t="s">
        <v>35</v>
      </c>
    </row>
    <row r="51" spans="2:24" hidden="1" x14ac:dyDescent="0.55000000000000004">
      <c r="B51">
        <v>49</v>
      </c>
      <c r="C51" t="s">
        <v>35</v>
      </c>
      <c r="D51" t="s">
        <v>113</v>
      </c>
      <c r="E51">
        <v>3</v>
      </c>
      <c r="F51">
        <v>3</v>
      </c>
      <c r="G51">
        <v>2</v>
      </c>
      <c r="H51">
        <v>3</v>
      </c>
      <c r="I51">
        <v>5</v>
      </c>
      <c r="J51">
        <v>5</v>
      </c>
      <c r="L51" t="s">
        <v>63</v>
      </c>
      <c r="M51" t="s">
        <v>35</v>
      </c>
    </row>
    <row r="52" spans="2:24" hidden="1" x14ac:dyDescent="0.55000000000000004">
      <c r="B52">
        <v>50</v>
      </c>
      <c r="C52" t="s">
        <v>58</v>
      </c>
      <c r="D52" t="s">
        <v>82</v>
      </c>
      <c r="E52">
        <v>2</v>
      </c>
      <c r="F52">
        <v>2</v>
      </c>
      <c r="G52">
        <v>2</v>
      </c>
      <c r="H52">
        <v>2</v>
      </c>
      <c r="I52">
        <v>5</v>
      </c>
      <c r="J52">
        <v>5</v>
      </c>
      <c r="M52" t="s">
        <v>59</v>
      </c>
    </row>
    <row r="53" spans="2:24" hidden="1" x14ac:dyDescent="0.55000000000000004">
      <c r="B53">
        <v>51</v>
      </c>
      <c r="C53" t="s">
        <v>58</v>
      </c>
      <c r="D53" t="s">
        <v>83</v>
      </c>
      <c r="E53">
        <v>1</v>
      </c>
      <c r="F53">
        <v>1</v>
      </c>
      <c r="G53">
        <v>1</v>
      </c>
      <c r="H53">
        <v>1</v>
      </c>
      <c r="I53">
        <v>5</v>
      </c>
      <c r="J53">
        <v>5</v>
      </c>
      <c r="M53" t="s">
        <v>59</v>
      </c>
    </row>
    <row r="54" spans="2:24" hidden="1" x14ac:dyDescent="0.55000000000000004">
      <c r="B54">
        <v>52</v>
      </c>
      <c r="C54" t="s">
        <v>58</v>
      </c>
      <c r="D54" t="s">
        <v>84</v>
      </c>
      <c r="E54">
        <v>1</v>
      </c>
      <c r="F54">
        <v>1</v>
      </c>
      <c r="G54">
        <v>1</v>
      </c>
      <c r="H54">
        <v>1</v>
      </c>
      <c r="I54">
        <v>5</v>
      </c>
      <c r="J54">
        <v>5</v>
      </c>
      <c r="M54" t="s">
        <v>59</v>
      </c>
    </row>
    <row r="55" spans="2:24" x14ac:dyDescent="0.55000000000000004">
      <c r="B55">
        <v>53</v>
      </c>
      <c r="C55" t="s">
        <v>16</v>
      </c>
      <c r="D55" t="s">
        <v>31</v>
      </c>
      <c r="E55">
        <v>4</v>
      </c>
      <c r="F55">
        <v>4</v>
      </c>
      <c r="G55">
        <v>4</v>
      </c>
      <c r="H55">
        <v>4</v>
      </c>
      <c r="I55">
        <v>5</v>
      </c>
      <c r="J55">
        <v>5</v>
      </c>
      <c r="L55" t="s">
        <v>54</v>
      </c>
      <c r="M55" t="s">
        <v>110</v>
      </c>
      <c r="P55" s="9"/>
    </row>
    <row r="56" spans="2:24" x14ac:dyDescent="0.55000000000000004">
      <c r="B56">
        <v>54</v>
      </c>
      <c r="C56" t="s">
        <v>16</v>
      </c>
      <c r="D56" t="s">
        <v>17</v>
      </c>
      <c r="E56">
        <v>4</v>
      </c>
      <c r="F56">
        <v>3</v>
      </c>
      <c r="G56">
        <v>4</v>
      </c>
      <c r="H56">
        <v>3</v>
      </c>
      <c r="I56">
        <v>5</v>
      </c>
      <c r="J56">
        <v>5</v>
      </c>
      <c r="L56" t="s">
        <v>54</v>
      </c>
      <c r="M56" t="s">
        <v>110</v>
      </c>
      <c r="P56" s="9"/>
    </row>
    <row r="57" spans="2:24" x14ac:dyDescent="0.55000000000000004">
      <c r="B57">
        <v>55</v>
      </c>
      <c r="C57" t="s">
        <v>57</v>
      </c>
      <c r="D57" t="s">
        <v>56</v>
      </c>
      <c r="E57">
        <v>5</v>
      </c>
      <c r="F57">
        <v>4</v>
      </c>
      <c r="G57">
        <v>4</v>
      </c>
      <c r="H57">
        <v>4</v>
      </c>
      <c r="I57">
        <v>5</v>
      </c>
      <c r="J57">
        <v>5</v>
      </c>
      <c r="M57" t="s">
        <v>109</v>
      </c>
      <c r="P57" s="9"/>
    </row>
    <row r="58" spans="2:24" x14ac:dyDescent="0.55000000000000004">
      <c r="B58">
        <v>56</v>
      </c>
      <c r="C58" t="s">
        <v>87</v>
      </c>
      <c r="D58" t="s">
        <v>88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M58" t="s">
        <v>143</v>
      </c>
      <c r="N58" t="s">
        <v>142</v>
      </c>
      <c r="P58" s="9"/>
    </row>
    <row r="59" spans="2:24" x14ac:dyDescent="0.55000000000000004">
      <c r="B59">
        <v>57</v>
      </c>
      <c r="C59" t="s">
        <v>87</v>
      </c>
      <c r="D59" t="s">
        <v>0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M59" t="s">
        <v>143</v>
      </c>
      <c r="N59" t="s">
        <v>142</v>
      </c>
      <c r="P59" s="9"/>
    </row>
    <row r="60" spans="2:24" x14ac:dyDescent="0.55000000000000004">
      <c r="B60">
        <v>58</v>
      </c>
      <c r="C60" t="s">
        <v>87</v>
      </c>
      <c r="D60" t="s">
        <v>1</v>
      </c>
      <c r="E60">
        <v>4</v>
      </c>
      <c r="F60">
        <v>4</v>
      </c>
      <c r="G60">
        <v>4</v>
      </c>
      <c r="H60">
        <v>3</v>
      </c>
      <c r="I60">
        <v>5</v>
      </c>
      <c r="J60">
        <v>5</v>
      </c>
      <c r="M60" t="s">
        <v>143</v>
      </c>
      <c r="N60" t="s">
        <v>142</v>
      </c>
      <c r="P60" s="9"/>
    </row>
    <row r="61" spans="2:24" x14ac:dyDescent="0.55000000000000004">
      <c r="B61">
        <v>59</v>
      </c>
      <c r="C61" t="s">
        <v>87</v>
      </c>
      <c r="D61" t="s">
        <v>89</v>
      </c>
      <c r="E61">
        <v>4</v>
      </c>
      <c r="F61">
        <v>4</v>
      </c>
      <c r="G61">
        <v>3</v>
      </c>
      <c r="H61">
        <v>3</v>
      </c>
      <c r="I61">
        <v>5</v>
      </c>
      <c r="J61">
        <v>5</v>
      </c>
      <c r="M61" t="s">
        <v>143</v>
      </c>
      <c r="N61" t="s">
        <v>142</v>
      </c>
      <c r="P61" s="9"/>
    </row>
    <row r="62" spans="2:24" x14ac:dyDescent="0.55000000000000004">
      <c r="B62">
        <v>60</v>
      </c>
      <c r="C62" t="s">
        <v>87</v>
      </c>
      <c r="D62" t="s">
        <v>117</v>
      </c>
      <c r="E62">
        <v>4</v>
      </c>
      <c r="F62">
        <v>4</v>
      </c>
      <c r="G62">
        <v>4</v>
      </c>
      <c r="H62">
        <v>3</v>
      </c>
      <c r="I62">
        <v>5</v>
      </c>
      <c r="J62">
        <v>5</v>
      </c>
      <c r="M62" t="s">
        <v>143</v>
      </c>
      <c r="N62" t="s">
        <v>142</v>
      </c>
      <c r="P62" s="9"/>
    </row>
    <row r="63" spans="2:24" x14ac:dyDescent="0.55000000000000004">
      <c r="B63">
        <v>61</v>
      </c>
      <c r="C63" t="s">
        <v>87</v>
      </c>
      <c r="D63" t="s">
        <v>90</v>
      </c>
      <c r="E63">
        <v>4</v>
      </c>
      <c r="F63">
        <v>3</v>
      </c>
      <c r="G63">
        <v>4</v>
      </c>
      <c r="H63">
        <v>3</v>
      </c>
      <c r="I63">
        <v>5</v>
      </c>
      <c r="J63">
        <v>5</v>
      </c>
      <c r="M63" t="s">
        <v>143</v>
      </c>
      <c r="N63" t="s">
        <v>142</v>
      </c>
      <c r="P63" s="9"/>
      <c r="R63" t="s">
        <v>145</v>
      </c>
      <c r="S63">
        <v>26</v>
      </c>
      <c r="U63">
        <f>S63*$U$74/$S$74</f>
        <v>14.181818181818182</v>
      </c>
      <c r="V63">
        <v>14</v>
      </c>
      <c r="W63" t="s">
        <v>145</v>
      </c>
      <c r="X63">
        <v>14</v>
      </c>
    </row>
    <row r="64" spans="2:24" x14ac:dyDescent="0.55000000000000004">
      <c r="B64">
        <v>62</v>
      </c>
      <c r="C64" t="s">
        <v>18</v>
      </c>
      <c r="D64" t="s">
        <v>93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M64" t="s">
        <v>142</v>
      </c>
      <c r="R64" t="s">
        <v>146</v>
      </c>
      <c r="S64">
        <v>26</v>
      </c>
      <c r="U64">
        <f t="shared" ref="U64:U73" si="0">S64*$U$74/$S$74</f>
        <v>14.181818181818182</v>
      </c>
      <c r="V64">
        <v>14</v>
      </c>
      <c r="W64" t="s">
        <v>146</v>
      </c>
      <c r="X64">
        <v>14</v>
      </c>
    </row>
    <row r="65" spans="2:24" x14ac:dyDescent="0.55000000000000004">
      <c r="B65">
        <v>63</v>
      </c>
      <c r="C65" t="s">
        <v>18</v>
      </c>
      <c r="D65" t="s">
        <v>33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M65" t="s">
        <v>142</v>
      </c>
      <c r="R65" t="s">
        <v>147</v>
      </c>
      <c r="S65">
        <v>2</v>
      </c>
      <c r="U65">
        <f t="shared" si="0"/>
        <v>1.0909090909090908</v>
      </c>
      <c r="V65">
        <v>1</v>
      </c>
      <c r="W65" t="s">
        <v>147</v>
      </c>
      <c r="X65">
        <v>1</v>
      </c>
    </row>
    <row r="66" spans="2:24" x14ac:dyDescent="0.55000000000000004">
      <c r="B66">
        <v>64</v>
      </c>
      <c r="C66" t="s">
        <v>18</v>
      </c>
      <c r="D66" t="s">
        <v>34</v>
      </c>
      <c r="E66">
        <v>4</v>
      </c>
      <c r="F66">
        <v>4</v>
      </c>
      <c r="G66">
        <v>4</v>
      </c>
      <c r="H66">
        <v>4</v>
      </c>
      <c r="I66">
        <v>5</v>
      </c>
      <c r="J66">
        <v>5</v>
      </c>
      <c r="M66" t="s">
        <v>142</v>
      </c>
      <c r="R66" t="s">
        <v>148</v>
      </c>
      <c r="S66">
        <v>1</v>
      </c>
      <c r="U66">
        <f t="shared" si="0"/>
        <v>0.54545454545454541</v>
      </c>
      <c r="W66" t="s">
        <v>148</v>
      </c>
    </row>
    <row r="67" spans="2:24" x14ac:dyDescent="0.55000000000000004">
      <c r="B67">
        <v>65</v>
      </c>
      <c r="C67" t="s">
        <v>18</v>
      </c>
      <c r="D67" t="s">
        <v>94</v>
      </c>
      <c r="E67">
        <v>4</v>
      </c>
      <c r="F67">
        <v>3</v>
      </c>
      <c r="G67">
        <v>3</v>
      </c>
      <c r="H67">
        <v>3</v>
      </c>
      <c r="I67">
        <v>5</v>
      </c>
      <c r="J67">
        <v>5</v>
      </c>
      <c r="M67" t="s">
        <v>142</v>
      </c>
      <c r="R67" t="s">
        <v>149</v>
      </c>
      <c r="S67">
        <v>6</v>
      </c>
      <c r="U67">
        <f t="shared" si="0"/>
        <v>3.2727272727272729</v>
      </c>
      <c r="V67">
        <v>3</v>
      </c>
      <c r="W67" t="s">
        <v>149</v>
      </c>
      <c r="X67">
        <v>3</v>
      </c>
    </row>
    <row r="68" spans="2:24" x14ac:dyDescent="0.55000000000000004">
      <c r="B68">
        <v>66</v>
      </c>
      <c r="C68" t="s">
        <v>114</v>
      </c>
      <c r="D68" t="s">
        <v>115</v>
      </c>
      <c r="E68">
        <v>4</v>
      </c>
      <c r="F68">
        <v>4</v>
      </c>
      <c r="G68">
        <v>3</v>
      </c>
      <c r="H68">
        <v>3</v>
      </c>
      <c r="I68">
        <v>5</v>
      </c>
      <c r="J68">
        <v>5</v>
      </c>
      <c r="K68">
        <v>5</v>
      </c>
      <c r="M68" t="s">
        <v>142</v>
      </c>
      <c r="R68" t="s">
        <v>150</v>
      </c>
      <c r="S68">
        <v>10</v>
      </c>
      <c r="U68">
        <f t="shared" si="0"/>
        <v>5.4545454545454541</v>
      </c>
      <c r="V68">
        <v>6</v>
      </c>
      <c r="W68" t="s">
        <v>150</v>
      </c>
      <c r="X68">
        <v>6</v>
      </c>
    </row>
    <row r="69" spans="2:24" x14ac:dyDescent="0.55000000000000004">
      <c r="B69">
        <v>67</v>
      </c>
      <c r="C69" t="s">
        <v>126</v>
      </c>
      <c r="D69" t="s">
        <v>127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M69" t="s">
        <v>142</v>
      </c>
      <c r="R69" t="s">
        <v>151</v>
      </c>
      <c r="S69">
        <v>1</v>
      </c>
      <c r="U69">
        <f t="shared" si="0"/>
        <v>0.54545454545454541</v>
      </c>
      <c r="W69" t="s">
        <v>151</v>
      </c>
    </row>
    <row r="70" spans="2:24" x14ac:dyDescent="0.55000000000000004">
      <c r="B70">
        <v>68</v>
      </c>
      <c r="C70" t="s">
        <v>18</v>
      </c>
      <c r="D70" t="s">
        <v>32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M70" t="s">
        <v>142</v>
      </c>
      <c r="R70" t="s">
        <v>152</v>
      </c>
      <c r="S70">
        <v>4</v>
      </c>
      <c r="U70">
        <f t="shared" si="0"/>
        <v>2.1818181818181817</v>
      </c>
      <c r="V70">
        <v>2</v>
      </c>
      <c r="W70" t="s">
        <v>152</v>
      </c>
      <c r="X70">
        <v>2</v>
      </c>
    </row>
    <row r="71" spans="2:24" x14ac:dyDescent="0.55000000000000004">
      <c r="B71">
        <v>69</v>
      </c>
      <c r="C71" t="s">
        <v>18</v>
      </c>
      <c r="D71" t="s">
        <v>95</v>
      </c>
      <c r="E71">
        <v>4</v>
      </c>
      <c r="F71">
        <v>4</v>
      </c>
      <c r="G71">
        <v>3</v>
      </c>
      <c r="H71">
        <v>3</v>
      </c>
      <c r="I71">
        <v>5</v>
      </c>
      <c r="J71">
        <v>5</v>
      </c>
      <c r="M71" t="s">
        <v>142</v>
      </c>
      <c r="R71" t="s">
        <v>153</v>
      </c>
      <c r="S71">
        <v>3</v>
      </c>
      <c r="U71">
        <f t="shared" si="0"/>
        <v>1.6363636363636365</v>
      </c>
      <c r="V71">
        <v>1</v>
      </c>
      <c r="W71" t="s">
        <v>153</v>
      </c>
      <c r="X71">
        <v>1</v>
      </c>
    </row>
    <row r="72" spans="2:24" hidden="1" x14ac:dyDescent="0.55000000000000004">
      <c r="B72">
        <v>70</v>
      </c>
      <c r="C72" t="s">
        <v>139</v>
      </c>
      <c r="D72" t="s">
        <v>140</v>
      </c>
      <c r="E72">
        <v>3</v>
      </c>
      <c r="F72">
        <v>3</v>
      </c>
      <c r="G72">
        <v>2</v>
      </c>
      <c r="H72">
        <v>2</v>
      </c>
      <c r="I72">
        <v>5</v>
      </c>
      <c r="J72">
        <v>5</v>
      </c>
      <c r="M72" t="s">
        <v>142</v>
      </c>
      <c r="R72" t="s">
        <v>154</v>
      </c>
      <c r="S72">
        <v>6</v>
      </c>
      <c r="U72">
        <f t="shared" si="0"/>
        <v>3.2727272727272729</v>
      </c>
      <c r="V72">
        <v>3</v>
      </c>
      <c r="W72" t="s">
        <v>154</v>
      </c>
      <c r="X72">
        <v>3</v>
      </c>
    </row>
    <row r="73" spans="2:24" x14ac:dyDescent="0.55000000000000004">
      <c r="B73">
        <v>71</v>
      </c>
      <c r="C73" t="s">
        <v>139</v>
      </c>
      <c r="D73" t="s">
        <v>141</v>
      </c>
      <c r="E73">
        <v>4</v>
      </c>
      <c r="F73">
        <v>4</v>
      </c>
      <c r="G73">
        <v>4</v>
      </c>
      <c r="H73">
        <v>4</v>
      </c>
      <c r="I73">
        <v>5</v>
      </c>
      <c r="J73">
        <v>5</v>
      </c>
      <c r="M73" t="s">
        <v>142</v>
      </c>
      <c r="R73" t="s">
        <v>155</v>
      </c>
      <c r="S73">
        <v>3</v>
      </c>
      <c r="U73">
        <f t="shared" si="0"/>
        <v>1.6363636363636365</v>
      </c>
      <c r="V73">
        <v>1</v>
      </c>
      <c r="W73" t="s">
        <v>155</v>
      </c>
      <c r="X73">
        <v>1</v>
      </c>
    </row>
    <row r="74" spans="2:24" x14ac:dyDescent="0.55000000000000004">
      <c r="B74">
        <v>72</v>
      </c>
      <c r="C74" t="s">
        <v>116</v>
      </c>
      <c r="D74" t="s">
        <v>107</v>
      </c>
      <c r="E74">
        <v>4</v>
      </c>
      <c r="F74">
        <v>3</v>
      </c>
      <c r="G74">
        <v>3</v>
      </c>
      <c r="H74">
        <v>3</v>
      </c>
      <c r="I74">
        <v>5</v>
      </c>
      <c r="J74">
        <v>5</v>
      </c>
      <c r="M74" t="s">
        <v>118</v>
      </c>
      <c r="P74" s="9"/>
      <c r="S74">
        <f>SUM(S63:S73)</f>
        <v>88</v>
      </c>
      <c r="U74">
        <v>48</v>
      </c>
      <c r="X74">
        <f>SUM(X63:X73)</f>
        <v>45</v>
      </c>
    </row>
    <row r="75" spans="2:24" x14ac:dyDescent="0.55000000000000004">
      <c r="B75">
        <v>73</v>
      </c>
      <c r="C75" t="s">
        <v>123</v>
      </c>
      <c r="D75" t="s">
        <v>119</v>
      </c>
      <c r="E75">
        <v>4</v>
      </c>
      <c r="F75">
        <v>3</v>
      </c>
      <c r="G75">
        <v>3</v>
      </c>
      <c r="H75">
        <v>3</v>
      </c>
      <c r="I75">
        <v>5</v>
      </c>
      <c r="J75">
        <v>5</v>
      </c>
      <c r="L75" t="s">
        <v>124</v>
      </c>
      <c r="M75" t="s">
        <v>118</v>
      </c>
      <c r="P75" s="9"/>
      <c r="U75">
        <f>SUM(U63:U73)</f>
        <v>47.999999999999993</v>
      </c>
    </row>
    <row r="76" spans="2:24" hidden="1" x14ac:dyDescent="0.55000000000000004">
      <c r="B76">
        <v>74</v>
      </c>
      <c r="C76" t="s">
        <v>123</v>
      </c>
      <c r="D76" t="s">
        <v>120</v>
      </c>
      <c r="E76">
        <v>3</v>
      </c>
      <c r="F76">
        <v>3</v>
      </c>
      <c r="G76">
        <v>3</v>
      </c>
      <c r="H76">
        <v>3</v>
      </c>
      <c r="I76">
        <v>5</v>
      </c>
      <c r="J76">
        <v>5</v>
      </c>
      <c r="M76" t="s">
        <v>118</v>
      </c>
      <c r="P76" s="9"/>
    </row>
    <row r="77" spans="2:24" hidden="1" x14ac:dyDescent="0.55000000000000004">
      <c r="B77">
        <v>75</v>
      </c>
      <c r="C77" t="s">
        <v>123</v>
      </c>
      <c r="D77" t="s">
        <v>121</v>
      </c>
      <c r="E77">
        <v>3</v>
      </c>
      <c r="F77">
        <v>3</v>
      </c>
      <c r="G77">
        <v>3</v>
      </c>
      <c r="H77">
        <v>3</v>
      </c>
      <c r="I77">
        <v>5</v>
      </c>
      <c r="J77">
        <v>5</v>
      </c>
      <c r="M77" t="s">
        <v>118</v>
      </c>
      <c r="P77" s="9"/>
    </row>
    <row r="78" spans="2:24" hidden="1" x14ac:dyDescent="0.55000000000000004">
      <c r="B78">
        <v>76</v>
      </c>
      <c r="C78" t="s">
        <v>123</v>
      </c>
      <c r="D78" t="s">
        <v>122</v>
      </c>
      <c r="E78">
        <v>3</v>
      </c>
      <c r="F78">
        <v>3</v>
      </c>
      <c r="G78">
        <v>3</v>
      </c>
      <c r="H78">
        <v>3</v>
      </c>
      <c r="I78">
        <v>5</v>
      </c>
      <c r="J78">
        <v>5</v>
      </c>
      <c r="M78" t="s">
        <v>118</v>
      </c>
      <c r="P78" s="9"/>
    </row>
    <row r="79" spans="2:24" x14ac:dyDescent="0.55000000000000004">
      <c r="B79">
        <v>77</v>
      </c>
      <c r="C79" t="s">
        <v>96</v>
      </c>
      <c r="D79" t="s">
        <v>97</v>
      </c>
      <c r="E79">
        <v>4</v>
      </c>
      <c r="I79">
        <v>5</v>
      </c>
      <c r="J79">
        <v>5</v>
      </c>
      <c r="M79" t="s">
        <v>142</v>
      </c>
      <c r="P79" s="9"/>
    </row>
    <row r="80" spans="2:24" x14ac:dyDescent="0.55000000000000004">
      <c r="B80">
        <v>78</v>
      </c>
      <c r="C80" t="s">
        <v>96</v>
      </c>
      <c r="D80" t="s">
        <v>98</v>
      </c>
      <c r="E80">
        <v>4</v>
      </c>
      <c r="I80">
        <v>5</v>
      </c>
      <c r="J80">
        <v>5</v>
      </c>
      <c r="M80" t="s">
        <v>142</v>
      </c>
      <c r="P80" s="9"/>
    </row>
    <row r="81" spans="2:16" hidden="1" x14ac:dyDescent="0.55000000000000004">
      <c r="B81">
        <v>79</v>
      </c>
      <c r="C81" t="s">
        <v>96</v>
      </c>
      <c r="D81" t="s">
        <v>125</v>
      </c>
      <c r="E81">
        <v>3</v>
      </c>
      <c r="I81">
        <v>5</v>
      </c>
      <c r="J81">
        <v>5</v>
      </c>
      <c r="M81" t="s">
        <v>142</v>
      </c>
      <c r="P81" s="9"/>
    </row>
    <row r="82" spans="2:16" x14ac:dyDescent="0.55000000000000004">
      <c r="B82">
        <v>80</v>
      </c>
      <c r="C82" t="s">
        <v>128</v>
      </c>
      <c r="D82" t="s">
        <v>133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M82" t="s">
        <v>142</v>
      </c>
    </row>
    <row r="83" spans="2:16" x14ac:dyDescent="0.55000000000000004">
      <c r="B83">
        <v>81</v>
      </c>
      <c r="C83" t="s">
        <v>128</v>
      </c>
      <c r="D83" t="s">
        <v>134</v>
      </c>
      <c r="E83">
        <v>5</v>
      </c>
      <c r="F83">
        <v>5</v>
      </c>
      <c r="G83">
        <v>4</v>
      </c>
      <c r="H83">
        <v>5</v>
      </c>
      <c r="I83">
        <v>5</v>
      </c>
      <c r="J83">
        <v>5</v>
      </c>
      <c r="M83" t="s">
        <v>142</v>
      </c>
      <c r="N83" t="s">
        <v>143</v>
      </c>
    </row>
    <row r="84" spans="2:16" x14ac:dyDescent="0.55000000000000004">
      <c r="B84">
        <v>82</v>
      </c>
      <c r="C84" t="s">
        <v>128</v>
      </c>
      <c r="D84" t="s">
        <v>135</v>
      </c>
      <c r="E84">
        <v>4</v>
      </c>
      <c r="F84">
        <v>4</v>
      </c>
      <c r="G84">
        <v>3</v>
      </c>
      <c r="H84">
        <v>4</v>
      </c>
      <c r="I84">
        <v>5</v>
      </c>
      <c r="J84">
        <v>5</v>
      </c>
      <c r="M84" t="s">
        <v>142</v>
      </c>
    </row>
    <row r="85" spans="2:16" x14ac:dyDescent="0.55000000000000004">
      <c r="B85">
        <v>83</v>
      </c>
      <c r="C85" t="s">
        <v>128</v>
      </c>
      <c r="D85" t="s">
        <v>136</v>
      </c>
      <c r="E85">
        <v>5</v>
      </c>
      <c r="F85">
        <v>5</v>
      </c>
      <c r="G85">
        <v>4</v>
      </c>
      <c r="H85">
        <v>4</v>
      </c>
      <c r="I85">
        <v>5</v>
      </c>
      <c r="J85">
        <v>5</v>
      </c>
      <c r="M85" t="s">
        <v>142</v>
      </c>
    </row>
    <row r="86" spans="2:16" x14ac:dyDescent="0.55000000000000004">
      <c r="B86">
        <v>84</v>
      </c>
      <c r="C86" t="s">
        <v>128</v>
      </c>
      <c r="D86" t="s">
        <v>100</v>
      </c>
      <c r="E86">
        <v>4</v>
      </c>
      <c r="F86">
        <v>3</v>
      </c>
      <c r="G86">
        <v>3</v>
      </c>
      <c r="H86">
        <v>3</v>
      </c>
      <c r="I86">
        <v>5</v>
      </c>
      <c r="J86">
        <v>5</v>
      </c>
      <c r="M86" t="s">
        <v>142</v>
      </c>
    </row>
    <row r="87" spans="2:16" x14ac:dyDescent="0.55000000000000004">
      <c r="B87">
        <v>85</v>
      </c>
      <c r="C87" t="s">
        <v>128</v>
      </c>
      <c r="D87" t="s">
        <v>137</v>
      </c>
      <c r="E87">
        <v>5</v>
      </c>
      <c r="F87">
        <v>5</v>
      </c>
      <c r="G87">
        <v>4</v>
      </c>
      <c r="H87">
        <v>4</v>
      </c>
      <c r="I87">
        <v>5</v>
      </c>
      <c r="J87">
        <v>5</v>
      </c>
      <c r="L87" t="s">
        <v>138</v>
      </c>
      <c r="M87" t="s">
        <v>142</v>
      </c>
    </row>
    <row r="88" spans="2:16" x14ac:dyDescent="0.55000000000000004">
      <c r="B88">
        <v>86</v>
      </c>
      <c r="C88" t="s">
        <v>129</v>
      </c>
      <c r="D88" t="s">
        <v>130</v>
      </c>
      <c r="E88">
        <v>4</v>
      </c>
      <c r="F88">
        <v>4</v>
      </c>
      <c r="G88">
        <v>4</v>
      </c>
      <c r="H88">
        <v>4</v>
      </c>
      <c r="I88">
        <v>5</v>
      </c>
      <c r="J88">
        <v>5</v>
      </c>
      <c r="M88" t="s">
        <v>142</v>
      </c>
    </row>
    <row r="89" spans="2:16" x14ac:dyDescent="0.55000000000000004">
      <c r="B89">
        <v>87</v>
      </c>
      <c r="C89" t="s">
        <v>129</v>
      </c>
      <c r="D89" t="s">
        <v>131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M89" t="s">
        <v>142</v>
      </c>
    </row>
    <row r="90" spans="2:16" x14ac:dyDescent="0.55000000000000004">
      <c r="B90">
        <v>88</v>
      </c>
      <c r="C90" t="s">
        <v>129</v>
      </c>
      <c r="D90" t="s">
        <v>132</v>
      </c>
      <c r="E90">
        <v>4</v>
      </c>
      <c r="F90">
        <v>4</v>
      </c>
      <c r="G90">
        <v>4</v>
      </c>
      <c r="H90">
        <v>3</v>
      </c>
      <c r="I90">
        <v>5</v>
      </c>
      <c r="J90">
        <v>5</v>
      </c>
      <c r="M90" t="s">
        <v>142</v>
      </c>
    </row>
    <row r="91" spans="2:16" x14ac:dyDescent="0.55000000000000004">
      <c r="B91" s="3">
        <v>89</v>
      </c>
      <c r="C91" s="3" t="s">
        <v>14</v>
      </c>
      <c r="D91" s="3" t="s">
        <v>15</v>
      </c>
      <c r="E91" s="3">
        <v>4</v>
      </c>
      <c r="F91" s="3"/>
      <c r="G91" s="3"/>
      <c r="H91" s="3"/>
      <c r="I91" s="3">
        <v>5</v>
      </c>
      <c r="J91" s="3">
        <v>5</v>
      </c>
      <c r="K91" s="3"/>
      <c r="L91" s="3"/>
      <c r="M91" t="s">
        <v>142</v>
      </c>
      <c r="P91" s="9"/>
    </row>
    <row r="92" spans="2:16" x14ac:dyDescent="0.55000000000000004">
      <c r="B92" s="1"/>
      <c r="C92" s="1"/>
      <c r="D92" s="1"/>
      <c r="E92" s="1" t="str">
        <f>"火晶は"&amp;COUNTIF(テーブル32[火晶],1)+COUNTIF(テーブル32[火晶],2)+COUNTIF(テーブル32[火晶],3)+COUNTIF(テーブル32[火晶],4)+COUNTIF(テーブル32[火晶],5)&amp;"人"</f>
        <v>火晶は89人</v>
      </c>
      <c r="F92" s="1" t="str">
        <f>"盾火晶5は"&amp;COUNTIF(テーブル32[盾],5)&amp;"人"</f>
        <v>盾火晶5は20人</v>
      </c>
      <c r="G92" s="1"/>
      <c r="H92" s="1"/>
      <c r="I92" s="1"/>
      <c r="J92" s="1"/>
      <c r="K92" s="1"/>
      <c r="L92" s="1"/>
      <c r="M92" s="1"/>
      <c r="N92" s="7"/>
    </row>
    <row r="94" spans="2:16" x14ac:dyDescent="0.55000000000000004">
      <c r="C94" s="5"/>
      <c r="D94" s="5" t="s">
        <v>101</v>
      </c>
      <c r="E94" s="4" t="s">
        <v>102</v>
      </c>
      <c r="F94" s="8" t="s">
        <v>103</v>
      </c>
      <c r="G94" s="8"/>
      <c r="H94" s="4"/>
      <c r="I94" s="4" t="s">
        <v>104</v>
      </c>
      <c r="J94" s="4" t="s">
        <v>106</v>
      </c>
      <c r="K94" s="4" t="s">
        <v>106</v>
      </c>
      <c r="L94" s="4" t="s">
        <v>105</v>
      </c>
    </row>
    <row r="95" spans="2:16" x14ac:dyDescent="0.55000000000000004">
      <c r="C95" s="4" t="s">
        <v>7</v>
      </c>
      <c r="D95" s="4">
        <v>47</v>
      </c>
      <c r="E95" s="4">
        <f>COUNTIF(テーブル32[同盟],"MMC")</f>
        <v>26</v>
      </c>
      <c r="F95" s="4">
        <f>COUNTIF(テーブル32[移籍先],"MMC")-COUNTIF(テーブル32[同盟],"MMC")</f>
        <v>30</v>
      </c>
      <c r="G95" s="4"/>
      <c r="H95" s="4"/>
      <c r="I95" s="4">
        <f>COUNTIFS(テーブル32[移籍先],"MMC",テーブル32[盾],"5")</f>
        <v>14</v>
      </c>
      <c r="J95" s="4">
        <f>COUNTIFS(テーブル32[移籍先],"MMC",テーブル32[槍],"5")</f>
        <v>10</v>
      </c>
      <c r="K95" s="4">
        <f>COUNTIFS(テーブル32[列1],"MMC",テーブル32[弓],"5")</f>
        <v>0</v>
      </c>
      <c r="L95" s="4">
        <f>COUNTIFS(テーブル32[移籍先],"MMC",テーブル32[弓],"5")</f>
        <v>12</v>
      </c>
    </row>
    <row r="96" spans="2:16" x14ac:dyDescent="0.55000000000000004">
      <c r="C96" s="4" t="s">
        <v>35</v>
      </c>
      <c r="D96" s="4">
        <v>33</v>
      </c>
      <c r="E96" s="4">
        <f>COUNTIF(テーブル32[同盟],"KFC")</f>
        <v>26</v>
      </c>
      <c r="F96" s="4">
        <f>COUNTIF(テーブル32[移籍先],"KFC")-COUNTIF(テーブル32[同盟],"KFC")</f>
        <v>7</v>
      </c>
      <c r="G96" s="4"/>
      <c r="H96" s="4"/>
      <c r="I96" s="4">
        <f>COUNTIFS(テーブル32[移籍先],"KFC",テーブル32[盾],"5")</f>
        <v>6</v>
      </c>
      <c r="J96" s="4">
        <f>COUNTIFS(テーブル32[移籍先],"KFC",テーブル32[槍],"5")</f>
        <v>5</v>
      </c>
      <c r="K96" s="4"/>
      <c r="L96" s="4">
        <f>COUNTIFS(テーブル32[移籍先],"KFC",テーブル32[弓],"5")</f>
        <v>6</v>
      </c>
    </row>
    <row r="97" spans="3:12" x14ac:dyDescent="0.55000000000000004">
      <c r="C97" s="4" t="s">
        <v>92</v>
      </c>
      <c r="D97" s="4">
        <v>30</v>
      </c>
      <c r="E97" s="4">
        <f>COUNTIF(テーブル32[同盟],"rlx")</f>
        <v>10</v>
      </c>
      <c r="F97" s="4"/>
      <c r="G97" s="4"/>
      <c r="H97" s="4"/>
      <c r="I97" s="4"/>
      <c r="J97" s="4"/>
      <c r="K97" s="4"/>
      <c r="L97" s="4"/>
    </row>
    <row r="98" spans="3:12" x14ac:dyDescent="0.55000000000000004">
      <c r="C98" s="4" t="s">
        <v>99</v>
      </c>
      <c r="D98" s="4">
        <v>45</v>
      </c>
      <c r="E98" s="4">
        <f>COUNTIF(テーブル32[同盟],"Ris")</f>
        <v>6</v>
      </c>
      <c r="F98" s="4"/>
      <c r="G98" s="4"/>
      <c r="H98" s="4"/>
      <c r="I98" s="4"/>
      <c r="J98" s="4"/>
      <c r="K98" s="4"/>
      <c r="L98" s="4"/>
    </row>
    <row r="99" spans="3:12" x14ac:dyDescent="0.55000000000000004">
      <c r="C99" s="4" t="s">
        <v>87</v>
      </c>
      <c r="D99" s="4">
        <v>35</v>
      </c>
      <c r="E99" s="4">
        <f>COUNTIF(テーブル32[同盟],"wan")</f>
        <v>6</v>
      </c>
      <c r="F99" s="4"/>
      <c r="G99" s="4"/>
      <c r="H99" s="4"/>
      <c r="I99" s="4"/>
      <c r="J99" s="4"/>
      <c r="K99" s="4"/>
      <c r="L99" s="4"/>
    </row>
  </sheetData>
  <mergeCells count="1">
    <mergeCell ref="F94:G94"/>
  </mergeCells>
  <phoneticPr fontId="1"/>
  <conditionalFormatting sqref="F3:H26 F28:H47 F62:H62">
    <cfRule type="cellIs" dxfId="10" priority="27" operator="greaterThanOrEqual">
      <formula>5</formula>
    </cfRule>
  </conditionalFormatting>
  <conditionalFormatting sqref="F54:H55 F57:H60">
    <cfRule type="cellIs" dxfId="9" priority="20" operator="greaterThanOrEqual">
      <formula>5</formula>
    </cfRule>
  </conditionalFormatting>
  <conditionalFormatting sqref="F64:H70">
    <cfRule type="cellIs" dxfId="8" priority="2" operator="greaterThanOrEqual">
      <formula>5</formula>
    </cfRule>
  </conditionalFormatting>
  <conditionalFormatting sqref="F74:H91">
    <cfRule type="cellIs" dxfId="7" priority="4" operator="greaterThanOrEqual">
      <formula>5</formula>
    </cfRule>
  </conditionalFormatting>
  <conditionalFormatting sqref="I3:J47">
    <cfRule type="cellIs" dxfId="6" priority="23" operator="lessThanOrEqual">
      <formula>4</formula>
    </cfRule>
  </conditionalFormatting>
  <conditionalFormatting sqref="I29:J32">
    <cfRule type="cellIs" dxfId="5" priority="22" operator="greaterThanOrEqual">
      <formula>5</formula>
    </cfRule>
  </conditionalFormatting>
  <conditionalFormatting sqref="I54:J55 I57:J58">
    <cfRule type="cellIs" dxfId="4" priority="19" operator="lessThanOrEqual">
      <formula>4</formula>
    </cfRule>
  </conditionalFormatting>
  <conditionalFormatting sqref="I60:J61">
    <cfRule type="cellIs" dxfId="3" priority="18" operator="lessThanOrEqual">
      <formula>4</formula>
    </cfRule>
  </conditionalFormatting>
  <conditionalFormatting sqref="I63:J70">
    <cfRule type="cellIs" dxfId="2" priority="1" operator="lessThanOrEqual">
      <formula>4</formula>
    </cfRule>
  </conditionalFormatting>
  <conditionalFormatting sqref="I74:J91">
    <cfRule type="cellIs" dxfId="1" priority="3" operator="lessThanOrEqual">
      <formula>4</formula>
    </cfRule>
  </conditionalFormatting>
  <conditionalFormatting sqref="K29:L32">
    <cfRule type="cellIs" dxfId="0" priority="21" operator="lessThanOrEqual">
      <formula>4</formula>
    </cfRule>
  </conditionalFormatting>
  <pageMargins left="0.7" right="0.7" top="0.75" bottom="0.75" header="0.3" footer="0.3"/>
  <pageSetup paperSize="9" scale="60" fitToWidth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確定 (2)</vt:lpstr>
      <vt:lpstr>確定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2026-05-15T22:18:19Z</dcterms:created>
  <dcterms:modified xsi:type="dcterms:W3CDTF">2026-06-21T03:53:09Z</dcterms:modified>
</cp:coreProperties>
</file>