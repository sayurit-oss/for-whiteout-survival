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97CF980B-E46D-4126-BD49-7A45FB7D7775}" xr6:coauthVersionLast="47" xr6:coauthVersionMax="47" xr10:uidLastSave="{00000000-0000-0000-0000-000000000000}"/>
  <bookViews>
    <workbookView xWindow="-110" yWindow="-110" windowWidth="23260" windowHeight="14860" xr2:uid="{9E63B997-7E97-4022-9E85-807A8163A3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/>
  <c r="E64" i="1"/>
  <c r="F70" i="1"/>
  <c r="F69" i="1"/>
  <c r="F68" i="1"/>
  <c r="E65" i="1"/>
  <c r="F64" i="1"/>
</calcChain>
</file>

<file path=xl/sharedStrings.xml><?xml version="1.0" encoding="utf-8"?>
<sst xmlns="http://schemas.openxmlformats.org/spreadsheetml/2006/main" count="209" uniqueCount="95">
  <si>
    <t>wan</t>
    <phoneticPr fontId="1"/>
  </si>
  <si>
    <t>とぼけいぬ</t>
    <phoneticPr fontId="1"/>
  </si>
  <si>
    <t>ロッキー</t>
    <phoneticPr fontId="1"/>
  </si>
  <si>
    <t>ポメプー</t>
    <phoneticPr fontId="1"/>
  </si>
  <si>
    <t>オハラ</t>
    <phoneticPr fontId="1"/>
  </si>
  <si>
    <t>盾火晶</t>
    <rPh sb="0" eb="1">
      <t>タテ</t>
    </rPh>
    <rPh sb="1" eb="2">
      <t>ヒ</t>
    </rPh>
    <rPh sb="2" eb="3">
      <t>アキラ</t>
    </rPh>
    <phoneticPr fontId="1"/>
  </si>
  <si>
    <t>ジェシー</t>
    <phoneticPr fontId="1"/>
  </si>
  <si>
    <t>パトリック</t>
    <phoneticPr fontId="1"/>
  </si>
  <si>
    <t>JPN</t>
    <phoneticPr fontId="1"/>
  </si>
  <si>
    <t>フランシスカ</t>
    <phoneticPr fontId="1"/>
  </si>
  <si>
    <t>火晶レベル</t>
    <rPh sb="0" eb="1">
      <t>ヒ</t>
    </rPh>
    <rPh sb="1" eb="2">
      <t>アキラ</t>
    </rPh>
    <phoneticPr fontId="1"/>
  </si>
  <si>
    <t>フレンダー</t>
    <phoneticPr fontId="1"/>
  </si>
  <si>
    <t>同盟</t>
    <rPh sb="0" eb="2">
      <t>ドウメイ</t>
    </rPh>
    <phoneticPr fontId="1"/>
  </si>
  <si>
    <t>名前</t>
    <rPh sb="0" eb="2">
      <t>ナマエ</t>
    </rPh>
    <phoneticPr fontId="1"/>
  </si>
  <si>
    <t>MMC</t>
    <phoneticPr fontId="1"/>
  </si>
  <si>
    <t>わからん</t>
    <phoneticPr fontId="1"/>
  </si>
  <si>
    <t>harupon</t>
    <phoneticPr fontId="1"/>
  </si>
  <si>
    <t>ringo</t>
    <phoneticPr fontId="1"/>
  </si>
  <si>
    <t>明太もちチーズ</t>
    <rPh sb="0" eb="2">
      <t>メンタイ</t>
    </rPh>
    <phoneticPr fontId="1"/>
  </si>
  <si>
    <t>マンダラ</t>
    <phoneticPr fontId="1"/>
  </si>
  <si>
    <t>ハンギョ</t>
    <phoneticPr fontId="1"/>
  </si>
  <si>
    <t>クル</t>
    <phoneticPr fontId="1"/>
  </si>
  <si>
    <t>MGA</t>
    <phoneticPr fontId="1"/>
  </si>
  <si>
    <t>あっちゃん</t>
    <phoneticPr fontId="1"/>
  </si>
  <si>
    <t>トシオー</t>
    <phoneticPr fontId="1"/>
  </si>
  <si>
    <t>DonPagi</t>
    <phoneticPr fontId="1"/>
  </si>
  <si>
    <t>Joy</t>
    <phoneticPr fontId="1"/>
  </si>
  <si>
    <t>中村問答無用</t>
    <rPh sb="0" eb="6">
      <t>ナカムラモンドウムヨウ</t>
    </rPh>
    <phoneticPr fontId="1"/>
  </si>
  <si>
    <t>JFW</t>
    <phoneticPr fontId="1"/>
  </si>
  <si>
    <t>オーキッド</t>
    <phoneticPr fontId="1"/>
  </si>
  <si>
    <t>NYA</t>
    <phoneticPr fontId="1"/>
  </si>
  <si>
    <t>よもぎ</t>
    <phoneticPr fontId="1"/>
  </si>
  <si>
    <t>rlx</t>
    <phoneticPr fontId="1"/>
  </si>
  <si>
    <t>Ris</t>
    <phoneticPr fontId="1"/>
  </si>
  <si>
    <t>にゃんち</t>
    <phoneticPr fontId="1"/>
  </si>
  <si>
    <t>Tequilla008</t>
    <phoneticPr fontId="1"/>
  </si>
  <si>
    <t>サブケンちゃん</t>
    <phoneticPr fontId="1"/>
  </si>
  <si>
    <t>nigorihiroki</t>
    <phoneticPr fontId="1"/>
  </si>
  <si>
    <t>ポメラニアンもち</t>
    <phoneticPr fontId="1"/>
  </si>
  <si>
    <t>れくさす</t>
    <phoneticPr fontId="1"/>
  </si>
  <si>
    <t>KENT</t>
    <phoneticPr fontId="1"/>
  </si>
  <si>
    <t>黒潮丸</t>
    <rPh sb="0" eb="2">
      <t>クロシオ</t>
    </rPh>
    <rPh sb="2" eb="3">
      <t>マル</t>
    </rPh>
    <phoneticPr fontId="1"/>
  </si>
  <si>
    <t>なはらた</t>
    <phoneticPr fontId="1"/>
  </si>
  <si>
    <t>ばりうけさん</t>
    <phoneticPr fontId="1"/>
  </si>
  <si>
    <t>とりあえずビール</t>
    <phoneticPr fontId="1"/>
  </si>
  <si>
    <t>SGT</t>
    <phoneticPr fontId="1"/>
  </si>
  <si>
    <t>えんまめ</t>
    <phoneticPr fontId="1"/>
  </si>
  <si>
    <t>mii</t>
    <phoneticPr fontId="1"/>
  </si>
  <si>
    <t>こた</t>
    <phoneticPr fontId="1"/>
  </si>
  <si>
    <t>ショーン</t>
    <phoneticPr fontId="1"/>
  </si>
  <si>
    <t>くまさん</t>
    <phoneticPr fontId="1"/>
  </si>
  <si>
    <t>アッシュ</t>
    <phoneticPr fontId="1"/>
  </si>
  <si>
    <t>※かけもち</t>
    <phoneticPr fontId="1"/>
  </si>
  <si>
    <t>備考</t>
    <phoneticPr fontId="1"/>
  </si>
  <si>
    <t>※KFC指定</t>
    <rPh sb="4" eb="6">
      <t>シテイ</t>
    </rPh>
    <phoneticPr fontId="1"/>
  </si>
  <si>
    <t>※MMC指定</t>
    <rPh sb="4" eb="6">
      <t>シテイ</t>
    </rPh>
    <phoneticPr fontId="1"/>
  </si>
  <si>
    <t>移籍先</t>
    <rPh sb="0" eb="3">
      <t>イセキサキ</t>
    </rPh>
    <phoneticPr fontId="1"/>
  </si>
  <si>
    <t>魚犬</t>
    <rPh sb="0" eb="2">
      <t>サカナイヌ</t>
    </rPh>
    <phoneticPr fontId="1"/>
  </si>
  <si>
    <t>かがみ</t>
    <phoneticPr fontId="1"/>
  </si>
  <si>
    <t>Tarutomo</t>
    <phoneticPr fontId="1"/>
  </si>
  <si>
    <t>Yokohamaさん</t>
    <phoneticPr fontId="1"/>
  </si>
  <si>
    <t>オルカ</t>
    <phoneticPr fontId="1"/>
  </si>
  <si>
    <t>はろるど</t>
    <phoneticPr fontId="1"/>
  </si>
  <si>
    <t>IRIRU</t>
    <phoneticPr fontId="1"/>
  </si>
  <si>
    <t>あーちゃ</t>
    <phoneticPr fontId="1"/>
  </si>
  <si>
    <t>co2</t>
    <phoneticPr fontId="1"/>
  </si>
  <si>
    <t>※遅れて参加</t>
    <rPh sb="1" eb="2">
      <t>オク</t>
    </rPh>
    <rPh sb="4" eb="6">
      <t>サンカ</t>
    </rPh>
    <phoneticPr fontId="1"/>
  </si>
  <si>
    <t>ICE</t>
    <phoneticPr fontId="1"/>
  </si>
  <si>
    <t>ねね鹿</t>
    <rPh sb="2" eb="3">
      <t>シカ</t>
    </rPh>
    <phoneticPr fontId="1"/>
  </si>
  <si>
    <t>おでん</t>
    <phoneticPr fontId="1"/>
  </si>
  <si>
    <t>ぺーさん</t>
    <phoneticPr fontId="1"/>
  </si>
  <si>
    <t>にーも</t>
    <phoneticPr fontId="1"/>
  </si>
  <si>
    <t>そらりん</t>
    <phoneticPr fontId="1"/>
  </si>
  <si>
    <t>ぴろっち</t>
    <phoneticPr fontId="1"/>
  </si>
  <si>
    <t>ミク</t>
    <phoneticPr fontId="1"/>
  </si>
  <si>
    <t>mrun</t>
    <phoneticPr fontId="1"/>
  </si>
  <si>
    <t>チュン</t>
    <phoneticPr fontId="1"/>
  </si>
  <si>
    <t>mayu</t>
    <phoneticPr fontId="1"/>
  </si>
  <si>
    <t>うさぶろう</t>
    <phoneticPr fontId="1"/>
  </si>
  <si>
    <t>ニキ</t>
    <phoneticPr fontId="1"/>
  </si>
  <si>
    <t>ひまわり</t>
    <phoneticPr fontId="1"/>
  </si>
  <si>
    <t>シシ丸</t>
    <rPh sb="2" eb="3">
      <t>マル</t>
    </rPh>
    <phoneticPr fontId="1"/>
  </si>
  <si>
    <t>ソフィー</t>
    <phoneticPr fontId="1"/>
  </si>
  <si>
    <t>飛行機雲</t>
    <rPh sb="0" eb="4">
      <t>ヒコウキグモ</t>
    </rPh>
    <phoneticPr fontId="1"/>
  </si>
  <si>
    <t>MMC</t>
    <phoneticPr fontId="1"/>
  </si>
  <si>
    <t>KFC</t>
    <phoneticPr fontId="1"/>
  </si>
  <si>
    <t>MMC除く</t>
    <phoneticPr fontId="1"/>
  </si>
  <si>
    <t>列1</t>
  </si>
  <si>
    <t>MMC受け入れ可能</t>
    <rPh sb="3" eb="4">
      <t>ウ</t>
    </rPh>
    <rPh sb="5" eb="6">
      <t>イ</t>
    </rPh>
    <rPh sb="7" eb="9">
      <t>カノウ</t>
    </rPh>
    <phoneticPr fontId="1"/>
  </si>
  <si>
    <t>KFC受け入れ可能</t>
    <rPh sb="3" eb="4">
      <t>ウ</t>
    </rPh>
    <rPh sb="5" eb="6">
      <t>イ</t>
    </rPh>
    <rPh sb="7" eb="9">
      <t>カノウ</t>
    </rPh>
    <phoneticPr fontId="1"/>
  </si>
  <si>
    <t>Max</t>
    <phoneticPr fontId="1"/>
  </si>
  <si>
    <t>移動人数</t>
    <rPh sb="0" eb="2">
      <t>イドウ</t>
    </rPh>
    <rPh sb="2" eb="4">
      <t>ニンズウ</t>
    </rPh>
    <phoneticPr fontId="1"/>
  </si>
  <si>
    <t>移動先未定の人</t>
    <rPh sb="0" eb="3">
      <t>イドウサキ</t>
    </rPh>
    <rPh sb="3" eb="5">
      <t>ミテイ</t>
    </rPh>
    <rPh sb="6" eb="7">
      <t>ヒト</t>
    </rPh>
    <phoneticPr fontId="1"/>
  </si>
  <si>
    <t>※受け入れ可能人数内にゴーストの移動考慮なし</t>
    <rPh sb="1" eb="2">
      <t>ウ</t>
    </rPh>
    <rPh sb="3" eb="4">
      <t>イ</t>
    </rPh>
    <rPh sb="5" eb="7">
      <t>カノウ</t>
    </rPh>
    <rPh sb="7" eb="9">
      <t>ニンズウ</t>
    </rPh>
    <rPh sb="9" eb="10">
      <t>ナイ</t>
    </rPh>
    <rPh sb="16" eb="18">
      <t>イドウ</t>
    </rPh>
    <rPh sb="18" eb="20">
      <t>コウリョ</t>
    </rPh>
    <phoneticPr fontId="1"/>
  </si>
  <si>
    <t>盾火晶3</t>
    <rPh sb="0" eb="1">
      <t>タテ</t>
    </rPh>
    <rPh sb="1" eb="2">
      <t>ヒ</t>
    </rPh>
    <rPh sb="2" eb="3">
      <t>アキラ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</si>
</sst>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</cellXfs>
  <cellStyles count="1">
    <cellStyle name="標準" xfId="0" builtinId="0"/>
  </cellStyles>
  <dxfs count="18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ill>
        <patternFill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テーブル スタイル 1" pivot="0" count="3" xr9:uid="{8438CCF6-7EAA-4BC3-B225-1093B6C1424D}">
      <tableStyleElement type="wholeTable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F626B-CF28-4E0F-85D0-EEDB04574A10}" name="テーブル3" displayName="テーブル3" ref="B2:K64" insertRowShift="1" totalsRowCount="1" headerRowDxfId="14" totalsRowDxfId="13">
  <autoFilter ref="B2:K63" xr:uid="{EF4F626B-CF28-4E0F-85D0-EEDB04574A10}"/>
  <tableColumns count="10">
    <tableColumn id="11" xr3:uid="{AF4EA0F7-40C1-45FD-809C-71797DAF4A95}" name="列1" totalsRowDxfId="9"/>
    <tableColumn id="1" xr3:uid="{E2ED1385-36C1-489B-8FBF-F7DF5566E9DA}" name="同盟" totalsRowDxfId="8"/>
    <tableColumn id="2" xr3:uid="{6C173DBE-65B3-44F2-A745-C6DC6404DA08}" name="名前" totalsRowDxfId="7"/>
    <tableColumn id="3" xr3:uid="{959BC632-66D4-4FE0-89F3-54D0D348DCF6}" name="火晶レベル" totalsRowFunction="custom" dataDxfId="12" totalsRowDxfId="6">
      <totalsRowFormula>"火晶は"&amp;COUNTIF(テーブル3[火晶レベル],1)+COUNTIF(テーブル3[火晶レベル],2)+COUNTIF(テーブル3[火晶レベル],3)&amp;"人"</totalsRowFormula>
    </tableColumn>
    <tableColumn id="4" xr3:uid="{601BD0CA-1765-425E-AFA5-34A3B8127758}" name="盾火晶" totalsRowFunction="custom" totalsRowDxfId="5">
      <totalsRowFormula>"盾火晶3は"&amp;COUNTIF(テーブル3[盾火晶],3)&amp;"人"</totalsRowFormula>
    </tableColumn>
    <tableColumn id="5" xr3:uid="{D3CE8043-D343-4CBE-8A2B-4BF1F9BC44B3}" name="ジェシー" totalsRowDxfId="4"/>
    <tableColumn id="6" xr3:uid="{05D1E3E1-1784-4337-AE98-D57950E1F9A1}" name="パトリック" totalsRowDxfId="3"/>
    <tableColumn id="7" xr3:uid="{F78AAED8-5B17-4AD4-8BE9-D37E692516B0}" name="フレンダー" totalsRowDxfId="2"/>
    <tableColumn id="8" xr3:uid="{D51CAFCC-83E2-4D5E-B91A-2D03A6EC70D6}" name="備考" totalsRowDxfId="1"/>
    <tableColumn id="9" xr3:uid="{7F8FEBB5-A21A-4D4E-A0F6-9977FB41BFE8}" name="移籍先" totalsRow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1FD6-D13B-442B-906E-234649D233D6}">
  <sheetPr>
    <pageSetUpPr fitToPage="1"/>
  </sheetPr>
  <dimension ref="B2:Q71"/>
  <sheetViews>
    <sheetView tabSelected="1" zoomScale="85" zoomScaleNormal="85" workbookViewId="0">
      <pane ySplit="2" topLeftCell="A44" activePane="bottomLeft" state="frozen"/>
      <selection pane="bottomLeft" activeCell="M64" sqref="M64"/>
    </sheetView>
  </sheetViews>
  <sheetFormatPr defaultRowHeight="18" x14ac:dyDescent="0.55000000000000004"/>
  <cols>
    <col min="3" max="3" width="14.1640625" customWidth="1"/>
    <col min="4" max="4" width="16.58203125" customWidth="1"/>
    <col min="5" max="8" width="14.1640625" customWidth="1"/>
    <col min="9" max="9" width="14.1640625" hidden="1" customWidth="1"/>
    <col min="10" max="10" width="12.4140625" customWidth="1"/>
  </cols>
  <sheetData>
    <row r="2" spans="2:11" x14ac:dyDescent="0.55000000000000004">
      <c r="B2" s="2" t="s">
        <v>87</v>
      </c>
      <c r="C2" s="2" t="s">
        <v>12</v>
      </c>
      <c r="D2" s="2" t="s">
        <v>13</v>
      </c>
      <c r="E2" s="2" t="s">
        <v>10</v>
      </c>
      <c r="F2" s="2" t="s">
        <v>5</v>
      </c>
      <c r="G2" s="2" t="s">
        <v>6</v>
      </c>
      <c r="H2" s="2" t="s">
        <v>7</v>
      </c>
      <c r="I2" s="2" t="s">
        <v>11</v>
      </c>
      <c r="J2" s="2" t="s">
        <v>53</v>
      </c>
      <c r="K2" s="2" t="s">
        <v>56</v>
      </c>
    </row>
    <row r="3" spans="2:11" x14ac:dyDescent="0.55000000000000004">
      <c r="B3">
        <v>1</v>
      </c>
      <c r="C3" t="s">
        <v>14</v>
      </c>
      <c r="D3" t="s">
        <v>15</v>
      </c>
      <c r="E3">
        <v>3</v>
      </c>
      <c r="F3">
        <v>3</v>
      </c>
      <c r="G3">
        <v>5</v>
      </c>
      <c r="H3">
        <v>5</v>
      </c>
      <c r="I3">
        <v>5</v>
      </c>
      <c r="K3" t="s">
        <v>14</v>
      </c>
    </row>
    <row r="4" spans="2:11" x14ac:dyDescent="0.55000000000000004">
      <c r="B4">
        <v>2</v>
      </c>
      <c r="C4" t="s">
        <v>14</v>
      </c>
      <c r="D4" t="s">
        <v>16</v>
      </c>
      <c r="E4">
        <v>3</v>
      </c>
      <c r="F4">
        <v>3</v>
      </c>
      <c r="G4">
        <v>5</v>
      </c>
      <c r="H4">
        <v>5</v>
      </c>
      <c r="K4" t="s">
        <v>14</v>
      </c>
    </row>
    <row r="5" spans="2:11" x14ac:dyDescent="0.55000000000000004">
      <c r="B5">
        <v>3</v>
      </c>
      <c r="C5" t="s">
        <v>14</v>
      </c>
      <c r="D5" t="s">
        <v>17</v>
      </c>
      <c r="E5">
        <v>3</v>
      </c>
      <c r="F5">
        <v>3</v>
      </c>
      <c r="G5">
        <v>5</v>
      </c>
      <c r="H5">
        <v>5</v>
      </c>
      <c r="I5">
        <v>5</v>
      </c>
      <c r="K5" t="s">
        <v>14</v>
      </c>
    </row>
    <row r="6" spans="2:11" x14ac:dyDescent="0.55000000000000004">
      <c r="B6">
        <v>4</v>
      </c>
      <c r="C6" t="s">
        <v>14</v>
      </c>
      <c r="D6" t="s">
        <v>19</v>
      </c>
      <c r="E6">
        <v>3</v>
      </c>
      <c r="F6">
        <v>3</v>
      </c>
      <c r="G6">
        <v>5</v>
      </c>
      <c r="H6">
        <v>5</v>
      </c>
      <c r="I6">
        <v>5</v>
      </c>
      <c r="K6" t="s">
        <v>14</v>
      </c>
    </row>
    <row r="7" spans="2:11" x14ac:dyDescent="0.55000000000000004">
      <c r="B7">
        <v>5</v>
      </c>
      <c r="C7" t="s">
        <v>14</v>
      </c>
      <c r="D7" t="s">
        <v>18</v>
      </c>
      <c r="E7">
        <v>2</v>
      </c>
      <c r="F7">
        <v>1</v>
      </c>
      <c r="G7">
        <v>5</v>
      </c>
      <c r="H7">
        <v>5</v>
      </c>
      <c r="K7" t="s">
        <v>14</v>
      </c>
    </row>
    <row r="8" spans="2:11" x14ac:dyDescent="0.55000000000000004">
      <c r="B8">
        <v>6</v>
      </c>
      <c r="C8" t="s">
        <v>14</v>
      </c>
      <c r="D8" t="s">
        <v>20</v>
      </c>
      <c r="E8">
        <v>2</v>
      </c>
      <c r="F8">
        <v>2</v>
      </c>
      <c r="G8">
        <v>5</v>
      </c>
      <c r="H8">
        <v>5</v>
      </c>
      <c r="K8" t="s">
        <v>14</v>
      </c>
    </row>
    <row r="9" spans="2:11" x14ac:dyDescent="0.55000000000000004">
      <c r="B9">
        <v>7</v>
      </c>
      <c r="C9" t="s">
        <v>14</v>
      </c>
      <c r="D9" t="s">
        <v>21</v>
      </c>
      <c r="E9">
        <v>1</v>
      </c>
      <c r="F9">
        <v>1</v>
      </c>
      <c r="G9">
        <v>5</v>
      </c>
      <c r="H9">
        <v>5</v>
      </c>
      <c r="J9" t="s">
        <v>52</v>
      </c>
      <c r="K9" t="s">
        <v>14</v>
      </c>
    </row>
    <row r="10" spans="2:11" x14ac:dyDescent="0.55000000000000004">
      <c r="B10">
        <v>8</v>
      </c>
      <c r="C10" t="s">
        <v>14</v>
      </c>
      <c r="D10" t="s">
        <v>37</v>
      </c>
      <c r="E10">
        <v>1</v>
      </c>
      <c r="G10">
        <v>4</v>
      </c>
      <c r="H10">
        <v>5</v>
      </c>
      <c r="K10" t="s">
        <v>14</v>
      </c>
    </row>
    <row r="11" spans="2:11" x14ac:dyDescent="0.55000000000000004">
      <c r="B11">
        <v>9</v>
      </c>
      <c r="C11" t="s">
        <v>14</v>
      </c>
      <c r="D11" t="s">
        <v>38</v>
      </c>
      <c r="E11">
        <v>1</v>
      </c>
      <c r="F11">
        <v>1</v>
      </c>
      <c r="G11">
        <v>5</v>
      </c>
      <c r="H11">
        <v>5</v>
      </c>
      <c r="K11" t="s">
        <v>14</v>
      </c>
    </row>
    <row r="12" spans="2:11" x14ac:dyDescent="0.55000000000000004">
      <c r="B12">
        <v>10</v>
      </c>
      <c r="C12" t="s">
        <v>14</v>
      </c>
      <c r="D12" t="s">
        <v>39</v>
      </c>
      <c r="E12">
        <v>1</v>
      </c>
      <c r="F12">
        <v>1</v>
      </c>
      <c r="G12">
        <v>5</v>
      </c>
      <c r="H12">
        <v>5</v>
      </c>
      <c r="K12" t="s">
        <v>14</v>
      </c>
    </row>
    <row r="13" spans="2:11" x14ac:dyDescent="0.55000000000000004">
      <c r="B13">
        <v>11</v>
      </c>
      <c r="C13" t="s">
        <v>14</v>
      </c>
      <c r="D13" t="s">
        <v>40</v>
      </c>
      <c r="E13">
        <v>1</v>
      </c>
      <c r="F13">
        <v>1</v>
      </c>
      <c r="G13">
        <v>5</v>
      </c>
      <c r="H13">
        <v>5</v>
      </c>
      <c r="K13" t="s">
        <v>14</v>
      </c>
    </row>
    <row r="14" spans="2:11" x14ac:dyDescent="0.55000000000000004">
      <c r="B14">
        <v>12</v>
      </c>
      <c r="C14" t="s">
        <v>14</v>
      </c>
      <c r="D14" t="s">
        <v>41</v>
      </c>
      <c r="E14">
        <v>1</v>
      </c>
      <c r="F14">
        <v>1</v>
      </c>
      <c r="G14">
        <v>5</v>
      </c>
      <c r="H14">
        <v>5</v>
      </c>
      <c r="K14" t="s">
        <v>14</v>
      </c>
    </row>
    <row r="15" spans="2:11" x14ac:dyDescent="0.55000000000000004">
      <c r="B15">
        <v>13</v>
      </c>
      <c r="C15" t="s">
        <v>14</v>
      </c>
      <c r="D15" t="s">
        <v>42</v>
      </c>
      <c r="E15">
        <v>1</v>
      </c>
      <c r="F15">
        <v>1</v>
      </c>
      <c r="G15">
        <v>5</v>
      </c>
      <c r="H15">
        <v>5</v>
      </c>
      <c r="J15" t="s">
        <v>66</v>
      </c>
      <c r="K15" t="s">
        <v>14</v>
      </c>
    </row>
    <row r="16" spans="2:11" x14ac:dyDescent="0.55000000000000004">
      <c r="B16">
        <v>14</v>
      </c>
      <c r="C16" t="s">
        <v>14</v>
      </c>
      <c r="D16" t="s">
        <v>43</v>
      </c>
      <c r="E16">
        <v>1</v>
      </c>
      <c r="F16">
        <v>1</v>
      </c>
      <c r="G16">
        <v>5</v>
      </c>
      <c r="H16">
        <v>5</v>
      </c>
      <c r="K16" t="s">
        <v>14</v>
      </c>
    </row>
    <row r="17" spans="2:17" x14ac:dyDescent="0.55000000000000004">
      <c r="B17">
        <v>15</v>
      </c>
      <c r="C17" t="s">
        <v>14</v>
      </c>
      <c r="D17" t="s">
        <v>44</v>
      </c>
      <c r="E17">
        <v>1</v>
      </c>
      <c r="F17">
        <v>1</v>
      </c>
      <c r="G17">
        <v>5</v>
      </c>
      <c r="H17">
        <v>5</v>
      </c>
      <c r="K17" t="s">
        <v>14</v>
      </c>
    </row>
    <row r="18" spans="2:17" x14ac:dyDescent="0.55000000000000004">
      <c r="B18">
        <v>16</v>
      </c>
      <c r="C18" t="s">
        <v>14</v>
      </c>
      <c r="D18" t="s">
        <v>45</v>
      </c>
      <c r="E18">
        <v>1</v>
      </c>
      <c r="F18">
        <v>1</v>
      </c>
      <c r="G18">
        <v>4</v>
      </c>
      <c r="H18">
        <v>5</v>
      </c>
      <c r="K18" t="s">
        <v>14</v>
      </c>
    </row>
    <row r="19" spans="2:17" x14ac:dyDescent="0.55000000000000004">
      <c r="B19">
        <v>17</v>
      </c>
      <c r="C19" t="s">
        <v>14</v>
      </c>
      <c r="D19" t="s">
        <v>46</v>
      </c>
      <c r="E19">
        <v>1</v>
      </c>
      <c r="F19">
        <v>1</v>
      </c>
      <c r="G19">
        <v>4</v>
      </c>
      <c r="H19">
        <v>5</v>
      </c>
      <c r="K19" t="s">
        <v>14</v>
      </c>
    </row>
    <row r="20" spans="2:17" x14ac:dyDescent="0.55000000000000004">
      <c r="B20">
        <v>18</v>
      </c>
      <c r="C20" t="s">
        <v>14</v>
      </c>
      <c r="D20" t="s">
        <v>47</v>
      </c>
      <c r="E20">
        <v>1</v>
      </c>
      <c r="F20">
        <v>1</v>
      </c>
      <c r="G20">
        <v>5</v>
      </c>
      <c r="H20">
        <v>5</v>
      </c>
      <c r="K20" t="s">
        <v>14</v>
      </c>
    </row>
    <row r="21" spans="2:17" x14ac:dyDescent="0.55000000000000004">
      <c r="B21">
        <v>19</v>
      </c>
      <c r="C21" t="s">
        <v>14</v>
      </c>
      <c r="D21" t="s">
        <v>48</v>
      </c>
      <c r="E21">
        <v>1</v>
      </c>
      <c r="F21">
        <v>0</v>
      </c>
      <c r="G21">
        <v>5</v>
      </c>
      <c r="H21">
        <v>5</v>
      </c>
      <c r="J21" t="s">
        <v>52</v>
      </c>
      <c r="K21" t="s">
        <v>14</v>
      </c>
    </row>
    <row r="22" spans="2:17" x14ac:dyDescent="0.55000000000000004">
      <c r="B22">
        <v>20</v>
      </c>
      <c r="C22" t="s">
        <v>14</v>
      </c>
      <c r="D22" t="s">
        <v>49</v>
      </c>
      <c r="E22">
        <v>1</v>
      </c>
      <c r="F22">
        <v>1</v>
      </c>
      <c r="G22">
        <v>5</v>
      </c>
      <c r="H22">
        <v>5</v>
      </c>
      <c r="J22" t="s">
        <v>66</v>
      </c>
      <c r="K22" t="s">
        <v>14</v>
      </c>
      <c r="P22" s="1"/>
      <c r="Q22" s="1"/>
    </row>
    <row r="23" spans="2:17" x14ac:dyDescent="0.55000000000000004">
      <c r="B23">
        <v>21</v>
      </c>
      <c r="C23" t="s">
        <v>14</v>
      </c>
      <c r="D23" t="s">
        <v>50</v>
      </c>
      <c r="E23">
        <v>2</v>
      </c>
      <c r="F23">
        <v>2</v>
      </c>
      <c r="G23">
        <v>5</v>
      </c>
      <c r="H23">
        <v>5</v>
      </c>
      <c r="K23" t="s">
        <v>14</v>
      </c>
      <c r="P23" s="1"/>
      <c r="Q23" s="1"/>
    </row>
    <row r="24" spans="2:17" x14ac:dyDescent="0.55000000000000004">
      <c r="B24">
        <v>22</v>
      </c>
      <c r="C24" t="s">
        <v>14</v>
      </c>
      <c r="D24" t="s">
        <v>51</v>
      </c>
      <c r="E24">
        <v>1</v>
      </c>
      <c r="F24">
        <v>1</v>
      </c>
      <c r="G24">
        <v>5</v>
      </c>
      <c r="H24">
        <v>5</v>
      </c>
      <c r="K24" t="s">
        <v>14</v>
      </c>
      <c r="P24" s="1"/>
      <c r="Q24" s="1"/>
    </row>
    <row r="25" spans="2:17" x14ac:dyDescent="0.55000000000000004">
      <c r="B25">
        <v>23</v>
      </c>
      <c r="C25" t="s">
        <v>0</v>
      </c>
      <c r="D25" t="s">
        <v>1</v>
      </c>
      <c r="E25">
        <v>2</v>
      </c>
      <c r="G25">
        <v>5</v>
      </c>
      <c r="H25">
        <v>5</v>
      </c>
      <c r="K25" t="s">
        <v>14</v>
      </c>
      <c r="P25" s="1"/>
      <c r="Q25" s="1"/>
    </row>
    <row r="26" spans="2:17" x14ac:dyDescent="0.55000000000000004">
      <c r="B26">
        <v>24</v>
      </c>
      <c r="C26" t="s">
        <v>0</v>
      </c>
      <c r="D26" t="s">
        <v>2</v>
      </c>
      <c r="E26">
        <v>3</v>
      </c>
      <c r="F26">
        <v>3</v>
      </c>
      <c r="G26">
        <v>5</v>
      </c>
      <c r="H26">
        <v>5</v>
      </c>
      <c r="K26" t="s">
        <v>14</v>
      </c>
      <c r="P26" s="1"/>
      <c r="Q26" s="1"/>
    </row>
    <row r="27" spans="2:17" x14ac:dyDescent="0.55000000000000004">
      <c r="B27">
        <v>25</v>
      </c>
      <c r="C27" t="s">
        <v>0</v>
      </c>
      <c r="D27" t="s">
        <v>3</v>
      </c>
      <c r="E27">
        <v>3</v>
      </c>
      <c r="F27">
        <v>3</v>
      </c>
      <c r="G27">
        <v>5</v>
      </c>
      <c r="H27">
        <v>5</v>
      </c>
      <c r="K27" t="s">
        <v>14</v>
      </c>
      <c r="P27" s="1"/>
      <c r="Q27" s="1"/>
    </row>
    <row r="28" spans="2:17" x14ac:dyDescent="0.55000000000000004">
      <c r="B28">
        <v>26</v>
      </c>
      <c r="C28" t="s">
        <v>0</v>
      </c>
      <c r="D28" t="s">
        <v>4</v>
      </c>
      <c r="E28">
        <v>1</v>
      </c>
      <c r="G28">
        <v>5</v>
      </c>
      <c r="H28">
        <v>5</v>
      </c>
      <c r="K28" t="s">
        <v>14</v>
      </c>
      <c r="P28" s="1"/>
      <c r="Q28" s="1"/>
    </row>
    <row r="29" spans="2:17" x14ac:dyDescent="0.55000000000000004">
      <c r="B29">
        <v>27</v>
      </c>
      <c r="C29" t="s">
        <v>8</v>
      </c>
      <c r="D29" t="s">
        <v>9</v>
      </c>
      <c r="E29">
        <v>2</v>
      </c>
      <c r="F29">
        <v>2</v>
      </c>
      <c r="G29">
        <v>5</v>
      </c>
      <c r="H29">
        <v>5</v>
      </c>
      <c r="I29">
        <v>5</v>
      </c>
      <c r="K29" t="s">
        <v>85</v>
      </c>
    </row>
    <row r="30" spans="2:17" x14ac:dyDescent="0.55000000000000004">
      <c r="B30">
        <v>28</v>
      </c>
      <c r="C30" t="s">
        <v>67</v>
      </c>
      <c r="D30" t="s">
        <v>68</v>
      </c>
      <c r="E30">
        <v>2</v>
      </c>
      <c r="F30">
        <v>2</v>
      </c>
      <c r="G30">
        <v>5</v>
      </c>
      <c r="H30">
        <v>5</v>
      </c>
      <c r="K30" t="s">
        <v>85</v>
      </c>
    </row>
    <row r="31" spans="2:17" x14ac:dyDescent="0.55000000000000004">
      <c r="B31">
        <v>29</v>
      </c>
      <c r="C31" t="s">
        <v>28</v>
      </c>
      <c r="D31" t="s">
        <v>29</v>
      </c>
      <c r="E31">
        <v>1</v>
      </c>
      <c r="G31">
        <v>5</v>
      </c>
      <c r="H31">
        <v>5</v>
      </c>
      <c r="J31" t="s">
        <v>55</v>
      </c>
      <c r="K31" t="s">
        <v>84</v>
      </c>
    </row>
    <row r="32" spans="2:17" x14ac:dyDescent="0.55000000000000004">
      <c r="B32">
        <v>30</v>
      </c>
      <c r="C32" t="s">
        <v>28</v>
      </c>
      <c r="D32" t="s">
        <v>57</v>
      </c>
      <c r="E32">
        <v>2</v>
      </c>
      <c r="F32">
        <v>1</v>
      </c>
      <c r="G32">
        <v>5</v>
      </c>
      <c r="H32">
        <v>5</v>
      </c>
      <c r="J32" t="s">
        <v>55</v>
      </c>
      <c r="K32" t="s">
        <v>84</v>
      </c>
    </row>
    <row r="33" spans="2:11" x14ac:dyDescent="0.55000000000000004">
      <c r="B33">
        <v>31</v>
      </c>
      <c r="C33" t="s">
        <v>28</v>
      </c>
      <c r="D33" t="s">
        <v>69</v>
      </c>
      <c r="E33">
        <v>1</v>
      </c>
      <c r="G33">
        <v>5</v>
      </c>
      <c r="H33">
        <v>5</v>
      </c>
      <c r="J33" t="s">
        <v>55</v>
      </c>
      <c r="K33" t="s">
        <v>84</v>
      </c>
    </row>
    <row r="34" spans="2:11" x14ac:dyDescent="0.55000000000000004">
      <c r="B34">
        <v>32</v>
      </c>
      <c r="C34" t="s">
        <v>22</v>
      </c>
      <c r="D34" t="s">
        <v>23</v>
      </c>
      <c r="E34">
        <v>2</v>
      </c>
      <c r="J34" t="s">
        <v>54</v>
      </c>
      <c r="K34" t="s">
        <v>85</v>
      </c>
    </row>
    <row r="35" spans="2:11" x14ac:dyDescent="0.55000000000000004">
      <c r="B35">
        <v>33</v>
      </c>
      <c r="C35" t="s">
        <v>22</v>
      </c>
      <c r="D35" t="s">
        <v>24</v>
      </c>
      <c r="E35">
        <v>1</v>
      </c>
      <c r="F35">
        <v>1</v>
      </c>
      <c r="G35">
        <v>5</v>
      </c>
      <c r="H35">
        <v>5</v>
      </c>
      <c r="K35" t="s">
        <v>85</v>
      </c>
    </row>
    <row r="36" spans="2:11" x14ac:dyDescent="0.55000000000000004">
      <c r="B36">
        <v>34</v>
      </c>
      <c r="C36" t="s">
        <v>22</v>
      </c>
      <c r="D36" t="s">
        <v>25</v>
      </c>
      <c r="E36">
        <v>1</v>
      </c>
      <c r="F36">
        <v>1</v>
      </c>
      <c r="G36">
        <v>5</v>
      </c>
      <c r="H36">
        <v>5</v>
      </c>
      <c r="K36" t="s">
        <v>85</v>
      </c>
    </row>
    <row r="37" spans="2:11" x14ac:dyDescent="0.55000000000000004">
      <c r="B37">
        <v>35</v>
      </c>
      <c r="C37" t="s">
        <v>26</v>
      </c>
      <c r="D37" t="s">
        <v>27</v>
      </c>
      <c r="E37">
        <v>2</v>
      </c>
      <c r="F37">
        <v>1</v>
      </c>
      <c r="G37">
        <v>5</v>
      </c>
      <c r="H37">
        <v>5</v>
      </c>
      <c r="K37" t="s">
        <v>85</v>
      </c>
    </row>
    <row r="38" spans="2:11" x14ac:dyDescent="0.55000000000000004">
      <c r="B38">
        <v>36</v>
      </c>
      <c r="C38" t="s">
        <v>30</v>
      </c>
      <c r="D38" t="s">
        <v>31</v>
      </c>
      <c r="E38">
        <v>1</v>
      </c>
      <c r="G38">
        <v>5</v>
      </c>
      <c r="H38">
        <v>5</v>
      </c>
      <c r="K38" t="s">
        <v>85</v>
      </c>
    </row>
    <row r="39" spans="2:11" x14ac:dyDescent="0.55000000000000004">
      <c r="B39">
        <v>37</v>
      </c>
      <c r="C39" t="s">
        <v>30</v>
      </c>
      <c r="D39" t="s">
        <v>34</v>
      </c>
      <c r="E39">
        <v>1</v>
      </c>
      <c r="G39">
        <v>5</v>
      </c>
      <c r="H39">
        <v>5</v>
      </c>
      <c r="K39" t="s">
        <v>85</v>
      </c>
    </row>
    <row r="40" spans="2:11" x14ac:dyDescent="0.55000000000000004">
      <c r="B40">
        <v>38</v>
      </c>
      <c r="C40" t="s">
        <v>30</v>
      </c>
      <c r="D40" t="s">
        <v>35</v>
      </c>
      <c r="E40">
        <v>1</v>
      </c>
      <c r="G40">
        <v>5</v>
      </c>
      <c r="H40">
        <v>5</v>
      </c>
      <c r="K40" t="s">
        <v>85</v>
      </c>
    </row>
    <row r="41" spans="2:11" x14ac:dyDescent="0.55000000000000004">
      <c r="B41">
        <v>39</v>
      </c>
      <c r="C41" t="s">
        <v>30</v>
      </c>
      <c r="D41" t="s">
        <v>36</v>
      </c>
      <c r="E41">
        <v>1</v>
      </c>
      <c r="G41">
        <v>5</v>
      </c>
      <c r="H41">
        <v>5</v>
      </c>
      <c r="K41" t="s">
        <v>85</v>
      </c>
    </row>
    <row r="42" spans="2:11" x14ac:dyDescent="0.55000000000000004">
      <c r="B42">
        <v>40</v>
      </c>
      <c r="C42" t="s">
        <v>32</v>
      </c>
      <c r="D42" t="s">
        <v>58</v>
      </c>
      <c r="E42">
        <v>3</v>
      </c>
      <c r="F42">
        <v>3</v>
      </c>
      <c r="G42">
        <v>5</v>
      </c>
      <c r="H42">
        <v>5</v>
      </c>
      <c r="K42" t="s">
        <v>84</v>
      </c>
    </row>
    <row r="43" spans="2:11" x14ac:dyDescent="0.55000000000000004">
      <c r="B43">
        <v>41</v>
      </c>
      <c r="C43" t="s">
        <v>32</v>
      </c>
      <c r="D43" t="s">
        <v>59</v>
      </c>
      <c r="E43">
        <v>3</v>
      </c>
      <c r="F43">
        <v>3</v>
      </c>
      <c r="G43">
        <v>5</v>
      </c>
      <c r="H43">
        <v>5</v>
      </c>
      <c r="K43" t="s">
        <v>84</v>
      </c>
    </row>
    <row r="44" spans="2:11" x14ac:dyDescent="0.55000000000000004">
      <c r="B44">
        <v>42</v>
      </c>
      <c r="C44" t="s">
        <v>32</v>
      </c>
      <c r="D44" t="s">
        <v>60</v>
      </c>
      <c r="E44">
        <v>3</v>
      </c>
      <c r="F44">
        <v>3</v>
      </c>
      <c r="G44">
        <v>5</v>
      </c>
      <c r="H44">
        <v>5</v>
      </c>
      <c r="K44" t="s">
        <v>84</v>
      </c>
    </row>
    <row r="45" spans="2:11" x14ac:dyDescent="0.55000000000000004">
      <c r="B45">
        <v>43</v>
      </c>
      <c r="C45" t="s">
        <v>32</v>
      </c>
      <c r="D45" t="s">
        <v>61</v>
      </c>
      <c r="E45">
        <v>3</v>
      </c>
      <c r="F45">
        <v>3</v>
      </c>
      <c r="G45">
        <v>5</v>
      </c>
      <c r="H45">
        <v>5</v>
      </c>
      <c r="K45" t="s">
        <v>84</v>
      </c>
    </row>
    <row r="46" spans="2:11" x14ac:dyDescent="0.55000000000000004">
      <c r="B46">
        <v>44</v>
      </c>
      <c r="C46" t="s">
        <v>32</v>
      </c>
      <c r="D46" t="s">
        <v>62</v>
      </c>
      <c r="E46">
        <v>2</v>
      </c>
      <c r="G46">
        <v>5</v>
      </c>
      <c r="H46">
        <v>5</v>
      </c>
      <c r="K46" t="s">
        <v>84</v>
      </c>
    </row>
    <row r="47" spans="2:11" x14ac:dyDescent="0.55000000000000004">
      <c r="B47">
        <v>45</v>
      </c>
      <c r="C47" t="s">
        <v>32</v>
      </c>
      <c r="D47" t="s">
        <v>63</v>
      </c>
      <c r="E47">
        <v>2</v>
      </c>
      <c r="G47">
        <v>5</v>
      </c>
      <c r="H47">
        <v>5</v>
      </c>
      <c r="K47" t="s">
        <v>84</v>
      </c>
    </row>
    <row r="48" spans="2:11" x14ac:dyDescent="0.55000000000000004">
      <c r="B48">
        <v>46</v>
      </c>
      <c r="C48" t="s">
        <v>32</v>
      </c>
      <c r="D48" t="s">
        <v>64</v>
      </c>
      <c r="E48">
        <v>1</v>
      </c>
      <c r="G48">
        <v>5</v>
      </c>
      <c r="H48">
        <v>5</v>
      </c>
      <c r="K48" t="s">
        <v>84</v>
      </c>
    </row>
    <row r="49" spans="2:11" x14ac:dyDescent="0.55000000000000004">
      <c r="B49">
        <v>47</v>
      </c>
      <c r="C49" t="s">
        <v>32</v>
      </c>
      <c r="D49" t="s">
        <v>65</v>
      </c>
      <c r="E49">
        <v>1</v>
      </c>
      <c r="G49">
        <v>5</v>
      </c>
      <c r="H49">
        <v>5</v>
      </c>
      <c r="K49" t="s">
        <v>84</v>
      </c>
    </row>
    <row r="50" spans="2:11" x14ac:dyDescent="0.55000000000000004">
      <c r="B50">
        <v>48</v>
      </c>
      <c r="C50" t="s">
        <v>33</v>
      </c>
      <c r="D50" t="s">
        <v>70</v>
      </c>
      <c r="E50">
        <v>3</v>
      </c>
      <c r="F50">
        <v>3</v>
      </c>
      <c r="G50">
        <v>5</v>
      </c>
      <c r="H50">
        <v>5</v>
      </c>
      <c r="K50" t="s">
        <v>84</v>
      </c>
    </row>
    <row r="51" spans="2:11" x14ac:dyDescent="0.55000000000000004">
      <c r="B51">
        <v>49</v>
      </c>
      <c r="C51" t="s">
        <v>33</v>
      </c>
      <c r="D51" t="s">
        <v>71</v>
      </c>
      <c r="E51">
        <v>3</v>
      </c>
      <c r="F51">
        <v>3</v>
      </c>
      <c r="G51">
        <v>5</v>
      </c>
      <c r="H51">
        <v>5</v>
      </c>
      <c r="K51" t="s">
        <v>84</v>
      </c>
    </row>
    <row r="52" spans="2:11" x14ac:dyDescent="0.55000000000000004">
      <c r="B52">
        <v>50</v>
      </c>
      <c r="C52" t="s">
        <v>33</v>
      </c>
      <c r="D52" t="s">
        <v>72</v>
      </c>
      <c r="E52">
        <v>3</v>
      </c>
      <c r="G52">
        <v>5</v>
      </c>
      <c r="H52">
        <v>5</v>
      </c>
      <c r="K52" t="s">
        <v>84</v>
      </c>
    </row>
    <row r="53" spans="2:11" x14ac:dyDescent="0.55000000000000004">
      <c r="B53">
        <v>51</v>
      </c>
      <c r="C53" t="s">
        <v>33</v>
      </c>
      <c r="D53" t="s">
        <v>73</v>
      </c>
      <c r="E53">
        <v>2</v>
      </c>
      <c r="G53">
        <v>5</v>
      </c>
      <c r="H53">
        <v>5</v>
      </c>
      <c r="K53" t="s">
        <v>84</v>
      </c>
    </row>
    <row r="54" spans="2:11" x14ac:dyDescent="0.55000000000000004">
      <c r="B54">
        <v>52</v>
      </c>
      <c r="C54" t="s">
        <v>33</v>
      </c>
      <c r="D54" t="s">
        <v>74</v>
      </c>
      <c r="E54">
        <v>2</v>
      </c>
      <c r="G54">
        <v>5</v>
      </c>
      <c r="H54">
        <v>5</v>
      </c>
      <c r="K54" t="s">
        <v>84</v>
      </c>
    </row>
    <row r="55" spans="2:11" x14ac:dyDescent="0.55000000000000004">
      <c r="B55">
        <v>53</v>
      </c>
      <c r="C55" t="s">
        <v>33</v>
      </c>
      <c r="D55" t="s">
        <v>75</v>
      </c>
      <c r="E55">
        <v>2</v>
      </c>
      <c r="G55">
        <v>5</v>
      </c>
      <c r="H55">
        <v>5</v>
      </c>
      <c r="K55" t="s">
        <v>84</v>
      </c>
    </row>
    <row r="56" spans="2:11" x14ac:dyDescent="0.55000000000000004">
      <c r="B56">
        <v>54</v>
      </c>
      <c r="C56" t="s">
        <v>33</v>
      </c>
      <c r="D56" t="s">
        <v>76</v>
      </c>
      <c r="E56">
        <v>1</v>
      </c>
      <c r="G56">
        <v>5</v>
      </c>
      <c r="H56">
        <v>5</v>
      </c>
      <c r="K56" t="s">
        <v>84</v>
      </c>
    </row>
    <row r="57" spans="2:11" x14ac:dyDescent="0.55000000000000004">
      <c r="B57">
        <v>55</v>
      </c>
      <c r="C57" t="s">
        <v>33</v>
      </c>
      <c r="D57" t="s">
        <v>77</v>
      </c>
      <c r="E57">
        <v>1</v>
      </c>
      <c r="G57">
        <v>5</v>
      </c>
      <c r="H57">
        <v>5</v>
      </c>
      <c r="K57" t="s">
        <v>84</v>
      </c>
    </row>
    <row r="58" spans="2:11" x14ac:dyDescent="0.55000000000000004">
      <c r="B58">
        <v>56</v>
      </c>
      <c r="C58" t="s">
        <v>33</v>
      </c>
      <c r="D58" t="s">
        <v>78</v>
      </c>
      <c r="E58">
        <v>1</v>
      </c>
      <c r="G58">
        <v>5</v>
      </c>
      <c r="H58">
        <v>5</v>
      </c>
      <c r="K58" t="s">
        <v>84</v>
      </c>
    </row>
    <row r="59" spans="2:11" x14ac:dyDescent="0.55000000000000004">
      <c r="B59">
        <v>57</v>
      </c>
      <c r="C59" t="s">
        <v>33</v>
      </c>
      <c r="D59" t="s">
        <v>79</v>
      </c>
      <c r="E59">
        <v>30</v>
      </c>
      <c r="G59">
        <v>5</v>
      </c>
      <c r="H59">
        <v>5</v>
      </c>
      <c r="K59" t="s">
        <v>84</v>
      </c>
    </row>
    <row r="60" spans="2:11" x14ac:dyDescent="0.55000000000000004">
      <c r="B60">
        <v>58</v>
      </c>
      <c r="C60" t="s">
        <v>33</v>
      </c>
      <c r="D60" t="s">
        <v>80</v>
      </c>
      <c r="E60">
        <v>30</v>
      </c>
      <c r="G60">
        <v>5</v>
      </c>
      <c r="H60">
        <v>5</v>
      </c>
      <c r="K60" t="s">
        <v>84</v>
      </c>
    </row>
    <row r="61" spans="2:11" x14ac:dyDescent="0.55000000000000004">
      <c r="B61">
        <v>59</v>
      </c>
      <c r="C61" t="s">
        <v>33</v>
      </c>
      <c r="D61" t="s">
        <v>81</v>
      </c>
      <c r="E61">
        <v>30</v>
      </c>
      <c r="G61">
        <v>5</v>
      </c>
      <c r="H61">
        <v>5</v>
      </c>
      <c r="K61" t="s">
        <v>84</v>
      </c>
    </row>
    <row r="62" spans="2:11" x14ac:dyDescent="0.55000000000000004">
      <c r="B62">
        <v>60</v>
      </c>
      <c r="C62" t="s">
        <v>33</v>
      </c>
      <c r="D62" t="s">
        <v>82</v>
      </c>
      <c r="E62">
        <v>30</v>
      </c>
      <c r="G62">
        <v>5</v>
      </c>
      <c r="H62">
        <v>5</v>
      </c>
      <c r="K62" t="s">
        <v>84</v>
      </c>
    </row>
    <row r="63" spans="2:11" x14ac:dyDescent="0.55000000000000004">
      <c r="B63" s="3">
        <v>61</v>
      </c>
      <c r="C63" s="3" t="s">
        <v>33</v>
      </c>
      <c r="D63" s="3" t="s">
        <v>83</v>
      </c>
      <c r="E63" s="3">
        <v>28</v>
      </c>
      <c r="F63" s="3"/>
      <c r="G63" s="3">
        <v>5</v>
      </c>
      <c r="H63" s="3">
        <v>5</v>
      </c>
      <c r="I63" s="3"/>
      <c r="J63" s="3"/>
      <c r="K63" s="3" t="s">
        <v>84</v>
      </c>
    </row>
    <row r="64" spans="2:11" x14ac:dyDescent="0.55000000000000004">
      <c r="B64" s="1"/>
      <c r="C64" s="1"/>
      <c r="D64" s="1"/>
      <c r="E64" s="1" t="str">
        <f>"火晶は"&amp;COUNTIF(テーブル3[火晶レベル],1)+COUNTIF(テーブル3[火晶レベル],2)+COUNTIF(テーブル3[火晶レベル],3)&amp;"人"</f>
        <v>火晶は56人</v>
      </c>
      <c r="F64" s="1" t="str">
        <f>"盾火晶3は"&amp;COUNTIF(テーブル3[盾火晶],3)&amp;"人"</f>
        <v>盾火晶3は12人</v>
      </c>
      <c r="G64" s="1"/>
      <c r="H64" s="1"/>
      <c r="I64" s="1"/>
      <c r="J64" s="1"/>
      <c r="K64" s="1"/>
    </row>
    <row r="65" spans="2:11" x14ac:dyDescent="0.55000000000000004">
      <c r="B65" s="4"/>
      <c r="C65" s="4"/>
      <c r="D65" s="4" t="s">
        <v>86</v>
      </c>
      <c r="E65" s="5" t="str">
        <f>"火晶は"&amp;COUNTIF(テーブル3[火晶レベル],1)+COUNTIF(テーブル3[火晶レベル],2)+COUNTIF(テーブル3[火晶レベル],3)-22&amp;"人"</f>
        <v>火晶は34人</v>
      </c>
      <c r="F65" s="4"/>
      <c r="G65" s="4"/>
      <c r="H65" s="4"/>
      <c r="I65" s="4"/>
      <c r="J65" s="4"/>
      <c r="K65" s="4"/>
    </row>
    <row r="67" spans="2:11" x14ac:dyDescent="0.55000000000000004">
      <c r="C67" s="8"/>
      <c r="D67" s="9"/>
      <c r="E67" s="7" t="s">
        <v>90</v>
      </c>
      <c r="F67" s="6" t="s">
        <v>91</v>
      </c>
      <c r="G67" s="6" t="s">
        <v>94</v>
      </c>
    </row>
    <row r="68" spans="2:11" x14ac:dyDescent="0.55000000000000004">
      <c r="C68" s="6" t="s">
        <v>88</v>
      </c>
      <c r="D68" s="6"/>
      <c r="E68" s="6">
        <v>40</v>
      </c>
      <c r="F68" s="6">
        <f>COUNTIF(テーブル3[移籍先],"MMC")</f>
        <v>51</v>
      </c>
      <c r="G68" s="6">
        <f>COUNTIFS(テーブル3[移籍先],"MMC",テーブル3[盾火晶],3)</f>
        <v>12</v>
      </c>
    </row>
    <row r="69" spans="2:11" x14ac:dyDescent="0.55000000000000004">
      <c r="C69" s="6" t="s">
        <v>89</v>
      </c>
      <c r="D69" s="6"/>
      <c r="E69" s="6">
        <v>21</v>
      </c>
      <c r="F69" s="6">
        <f>COUNTIF(テーブル3[移籍先],"KFC")</f>
        <v>10</v>
      </c>
      <c r="G69" s="6">
        <f>COUNTIFS(テーブル3[移籍先],"KFC",テーブル3[盾火晶],3)</f>
        <v>0</v>
      </c>
    </row>
    <row r="70" spans="2:11" x14ac:dyDescent="0.55000000000000004">
      <c r="C70" s="10" t="s">
        <v>92</v>
      </c>
      <c r="D70" s="11"/>
      <c r="E70" s="12"/>
      <c r="F70" s="6">
        <f>COUNTIF(テーブル3[移籍先],"")</f>
        <v>0</v>
      </c>
      <c r="G70" s="6">
        <v>0</v>
      </c>
    </row>
    <row r="71" spans="2:11" x14ac:dyDescent="0.55000000000000004">
      <c r="C71" s="1" t="s">
        <v>93</v>
      </c>
      <c r="D71" s="1"/>
      <c r="E71" s="1"/>
      <c r="F71" s="1"/>
      <c r="G71" s="1"/>
    </row>
  </sheetData>
  <phoneticPr fontId="1"/>
  <conditionalFormatting sqref="F3:F63">
    <cfRule type="cellIs" dxfId="11" priority="2" operator="greaterThanOrEqual">
      <formula>3</formula>
    </cfRule>
  </conditionalFormatting>
  <conditionalFormatting sqref="G3:H63">
    <cfRule type="cellIs" dxfId="10" priority="1" operator="lessThanOrEqual">
      <formula>4</formula>
    </cfRule>
  </conditionalFormatting>
  <pageMargins left="0.7" right="0.7" top="0.75" bottom="0.75" header="0.3" footer="0.3"/>
  <pageSetup paperSize="9" scale="60" fitToWidth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220E-1995-4AD4-8EE7-C039004BAE93}">
  <dimension ref="A1"/>
  <sheetViews>
    <sheetView workbookViewId="0">
      <selection activeCell="D10" sqref="D10"/>
    </sheetView>
  </sheetViews>
  <sheetFormatPr defaultRowHeight="18" x14ac:dyDescent="0.55000000000000004"/>
  <cols>
    <col min="2" max="2" width="17.5" customWidth="1"/>
  </cols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2026-05-15T22:18:19Z</dcterms:created>
  <dcterms:modified xsi:type="dcterms:W3CDTF">2026-05-15T22:27:13Z</dcterms:modified>
</cp:coreProperties>
</file>